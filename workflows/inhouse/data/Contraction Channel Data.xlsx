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2046299_qut_edu_au/Documents/Researches!!/QUT/Project/physics_test/"/>
    </mc:Choice>
  </mc:AlternateContent>
  <xr:revisionPtr revIDLastSave="31" documentId="8_{9DC23917-1B40-4983-8D10-43B86B2BDBB1}" xr6:coauthVersionLast="47" xr6:coauthVersionMax="47" xr10:uidLastSave="{1BBED30A-4A3B-511B-8CFB-8179044B330D}"/>
  <bookViews>
    <workbookView xWindow="-24060" yWindow="3720" windowWidth="21600" windowHeight="11295" xr2:uid="{00000000-000D-0000-FFFF-FFFF00000000}"/>
  </bookViews>
  <sheets>
    <sheet name="Sheet1" sheetId="4" r:id="rId1"/>
    <sheet name="λ" sheetId="1" r:id="rId2"/>
    <sheet name="hp" sheetId="2" r:id="rId3"/>
    <sheet name="Amplitud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9" i="4" l="1"/>
  <c r="J169" i="4"/>
  <c r="L168" i="4"/>
  <c r="J168" i="4"/>
  <c r="L167" i="4"/>
  <c r="J167" i="4"/>
  <c r="L166" i="4"/>
  <c r="J166" i="4"/>
  <c r="L165" i="4"/>
  <c r="J165" i="4"/>
  <c r="L164" i="4"/>
  <c r="J164" i="4"/>
  <c r="L163" i="4"/>
  <c r="J163" i="4"/>
  <c r="L162" i="4"/>
  <c r="J162" i="4"/>
  <c r="L161" i="4"/>
  <c r="J161" i="4"/>
  <c r="L160" i="4"/>
  <c r="J160" i="4"/>
  <c r="L159" i="4"/>
  <c r="J159" i="4"/>
  <c r="L158" i="4"/>
  <c r="J158" i="4"/>
  <c r="L157" i="4"/>
  <c r="J157" i="4"/>
  <c r="L156" i="4"/>
  <c r="J156" i="4"/>
  <c r="L155" i="4"/>
  <c r="J155" i="4"/>
  <c r="L154" i="4"/>
  <c r="J154" i="4"/>
  <c r="L153" i="4"/>
  <c r="J153" i="4"/>
  <c r="L152" i="4"/>
  <c r="J152" i="4"/>
  <c r="L151" i="4"/>
  <c r="J151" i="4"/>
  <c r="L150" i="4"/>
  <c r="J150" i="4"/>
  <c r="L149" i="4"/>
  <c r="J149" i="4"/>
  <c r="L148" i="4"/>
  <c r="J148" i="4"/>
  <c r="L147" i="4"/>
  <c r="J147" i="4"/>
  <c r="L146" i="4"/>
  <c r="J146" i="4"/>
  <c r="L145" i="4"/>
  <c r="J145" i="4"/>
  <c r="L144" i="4"/>
  <c r="J144" i="4"/>
  <c r="L143" i="4"/>
  <c r="J143" i="4"/>
  <c r="L142" i="4"/>
  <c r="J142" i="4"/>
  <c r="L141" i="4"/>
  <c r="J141" i="4"/>
  <c r="L140" i="4"/>
  <c r="J140" i="4"/>
  <c r="L139" i="4"/>
  <c r="J139" i="4"/>
  <c r="L138" i="4"/>
  <c r="J138" i="4"/>
  <c r="L137" i="4"/>
  <c r="J137" i="4"/>
  <c r="L136" i="4"/>
  <c r="J136" i="4"/>
  <c r="L135" i="4"/>
  <c r="J135" i="4"/>
  <c r="L134" i="4"/>
  <c r="J134" i="4"/>
  <c r="L133" i="4"/>
  <c r="J133" i="4"/>
  <c r="L132" i="4"/>
  <c r="J132" i="4"/>
  <c r="L131" i="4"/>
  <c r="J131" i="4"/>
  <c r="L130" i="4"/>
  <c r="J130" i="4"/>
  <c r="L129" i="4"/>
  <c r="J129" i="4"/>
  <c r="L128" i="4"/>
  <c r="J128" i="4"/>
  <c r="L127" i="4"/>
  <c r="J127" i="4"/>
  <c r="L126" i="4"/>
  <c r="J126" i="4"/>
  <c r="L125" i="4"/>
  <c r="J125" i="4"/>
  <c r="L124" i="4"/>
  <c r="J124" i="4"/>
  <c r="L123" i="4"/>
  <c r="J123" i="4"/>
  <c r="L122" i="4"/>
  <c r="J122" i="4"/>
  <c r="L121" i="4"/>
  <c r="J121" i="4"/>
  <c r="L120" i="4"/>
  <c r="J120" i="4"/>
  <c r="L119" i="4"/>
  <c r="J119" i="4"/>
  <c r="L118" i="4"/>
  <c r="J118" i="4"/>
  <c r="L117" i="4"/>
  <c r="J117" i="4"/>
  <c r="L116" i="4"/>
  <c r="J116" i="4"/>
  <c r="L115" i="4"/>
  <c r="J115" i="4"/>
  <c r="L114" i="4"/>
  <c r="J114" i="4"/>
  <c r="L113" i="4"/>
  <c r="J113" i="4"/>
  <c r="L112" i="4"/>
  <c r="J112" i="4"/>
  <c r="L111" i="4"/>
  <c r="J111" i="4"/>
  <c r="L110" i="4"/>
  <c r="J110" i="4"/>
  <c r="L109" i="4"/>
  <c r="J109" i="4"/>
  <c r="L108" i="4"/>
  <c r="J108" i="4"/>
  <c r="L107" i="4"/>
  <c r="J107" i="4"/>
  <c r="L106" i="4"/>
  <c r="J106" i="4"/>
  <c r="L105" i="4"/>
  <c r="J105" i="4"/>
  <c r="L104" i="4"/>
  <c r="J104" i="4"/>
  <c r="L103" i="4"/>
  <c r="J103" i="4"/>
  <c r="L102" i="4"/>
  <c r="J102" i="4"/>
  <c r="L101" i="4"/>
  <c r="J101" i="4"/>
  <c r="L100" i="4"/>
  <c r="J100" i="4"/>
  <c r="L99" i="4"/>
  <c r="J99" i="4"/>
  <c r="L98" i="4"/>
  <c r="J98" i="4"/>
  <c r="L97" i="4"/>
  <c r="J97" i="4"/>
  <c r="L96" i="4"/>
  <c r="J96" i="4"/>
  <c r="L95" i="4"/>
  <c r="J95" i="4"/>
  <c r="L94" i="4"/>
  <c r="J94" i="4"/>
  <c r="L93" i="4"/>
  <c r="J93" i="4"/>
  <c r="L92" i="4"/>
  <c r="J92" i="4"/>
  <c r="L91" i="4"/>
  <c r="J91" i="4"/>
  <c r="L90" i="4"/>
  <c r="J90" i="4"/>
  <c r="L89" i="4"/>
  <c r="J89" i="4"/>
  <c r="L88" i="4"/>
  <c r="J88" i="4"/>
  <c r="L87" i="4"/>
  <c r="J87" i="4"/>
  <c r="L86" i="4"/>
  <c r="J86" i="4"/>
  <c r="L85" i="4"/>
  <c r="J85" i="4"/>
  <c r="L84" i="4"/>
  <c r="J84" i="4"/>
  <c r="L83" i="4"/>
  <c r="J83" i="4"/>
  <c r="L82" i="4"/>
  <c r="J82" i="4"/>
  <c r="L81" i="4"/>
  <c r="J81" i="4"/>
  <c r="L80" i="4"/>
  <c r="J80" i="4"/>
  <c r="L79" i="4"/>
  <c r="J79" i="4"/>
  <c r="L78" i="4"/>
  <c r="J78" i="4"/>
  <c r="L77" i="4"/>
  <c r="J77" i="4"/>
  <c r="L76" i="4"/>
  <c r="J76" i="4"/>
  <c r="L75" i="4"/>
  <c r="J75" i="4"/>
  <c r="L74" i="4"/>
  <c r="J74" i="4"/>
  <c r="L73" i="4"/>
  <c r="J73" i="4"/>
  <c r="L72" i="4"/>
  <c r="J72" i="4"/>
  <c r="L71" i="4"/>
  <c r="J71" i="4"/>
  <c r="L70" i="4"/>
  <c r="J70" i="4"/>
  <c r="L69" i="4"/>
  <c r="J69" i="4"/>
  <c r="L68" i="4"/>
  <c r="J68" i="4"/>
  <c r="L67" i="4"/>
  <c r="J67" i="4"/>
  <c r="L66" i="4"/>
  <c r="J66" i="4"/>
  <c r="L65" i="4"/>
  <c r="J65" i="4"/>
  <c r="L64" i="4"/>
  <c r="J64" i="4"/>
  <c r="L63" i="4"/>
  <c r="J63" i="4"/>
  <c r="L62" i="4"/>
  <c r="J62" i="4"/>
  <c r="L61" i="4"/>
  <c r="J61" i="4"/>
  <c r="L60" i="4"/>
  <c r="J60" i="4"/>
  <c r="L59" i="4"/>
  <c r="J59" i="4"/>
  <c r="L58" i="4"/>
  <c r="J58" i="4"/>
  <c r="L57" i="4"/>
  <c r="J57" i="4"/>
  <c r="L56" i="4"/>
  <c r="J56" i="4"/>
  <c r="L55" i="4"/>
  <c r="J55" i="4"/>
  <c r="L54" i="4"/>
  <c r="J54" i="4"/>
  <c r="L53" i="4"/>
  <c r="J53" i="4"/>
  <c r="L52" i="4"/>
  <c r="J52" i="4"/>
  <c r="L51" i="4"/>
  <c r="J51" i="4"/>
  <c r="L50" i="4"/>
  <c r="J50" i="4"/>
  <c r="L49" i="4"/>
  <c r="J49" i="4"/>
  <c r="L48" i="4"/>
  <c r="J48" i="4"/>
  <c r="L47" i="4"/>
  <c r="J47" i="4"/>
  <c r="L46" i="4"/>
  <c r="J46" i="4"/>
  <c r="L45" i="4"/>
  <c r="J45" i="4"/>
  <c r="L44" i="4"/>
  <c r="J44" i="4"/>
  <c r="L43" i="4"/>
  <c r="J43" i="4"/>
  <c r="L42" i="4"/>
  <c r="J42" i="4"/>
  <c r="L41" i="4"/>
  <c r="J41" i="4"/>
  <c r="L40" i="4"/>
  <c r="J40" i="4"/>
  <c r="L39" i="4"/>
  <c r="J39" i="4"/>
  <c r="L38" i="4"/>
  <c r="J38" i="4"/>
  <c r="L37" i="4"/>
  <c r="J37" i="4"/>
  <c r="L36" i="4"/>
  <c r="J36" i="4"/>
  <c r="L35" i="4"/>
  <c r="J35" i="4"/>
  <c r="L34" i="4"/>
  <c r="J34" i="4"/>
  <c r="L33" i="4"/>
  <c r="J33" i="4"/>
  <c r="L32" i="4"/>
  <c r="J32" i="4"/>
  <c r="L31" i="4"/>
  <c r="J31" i="4"/>
  <c r="L30" i="4"/>
  <c r="J30" i="4"/>
  <c r="L29" i="4"/>
  <c r="J29" i="4"/>
  <c r="L28" i="4"/>
  <c r="J28" i="4"/>
  <c r="L27" i="4"/>
  <c r="J27" i="4"/>
  <c r="L26" i="4"/>
  <c r="J26" i="4"/>
  <c r="L25" i="4"/>
  <c r="J25" i="4"/>
  <c r="L24" i="4"/>
  <c r="J24" i="4"/>
  <c r="L23" i="4"/>
  <c r="J23" i="4"/>
  <c r="L22" i="4"/>
  <c r="J22" i="4"/>
  <c r="L21" i="4"/>
  <c r="J21" i="4"/>
  <c r="L20" i="4"/>
  <c r="J20" i="4"/>
  <c r="L19" i="4"/>
  <c r="J19" i="4"/>
  <c r="L18" i="4"/>
  <c r="J18" i="4"/>
  <c r="L17" i="4"/>
  <c r="J17" i="4"/>
  <c r="L16" i="4"/>
  <c r="J16" i="4"/>
  <c r="L15" i="4"/>
  <c r="J15" i="4"/>
  <c r="L14" i="4"/>
  <c r="J14" i="4"/>
  <c r="L13" i="4"/>
  <c r="J13" i="4"/>
  <c r="L12" i="4"/>
  <c r="J12" i="4"/>
  <c r="L11" i="4"/>
  <c r="J11" i="4"/>
  <c r="L10" i="4"/>
  <c r="J10" i="4"/>
  <c r="L9" i="4"/>
  <c r="J9" i="4"/>
  <c r="L8" i="4"/>
  <c r="J8" i="4"/>
  <c r="L7" i="4"/>
  <c r="J7" i="4"/>
  <c r="L6" i="4"/>
  <c r="J6" i="4"/>
  <c r="L5" i="4"/>
  <c r="J5" i="4"/>
  <c r="L4" i="4"/>
  <c r="J4" i="4"/>
  <c r="L3" i="4"/>
  <c r="J3" i="4"/>
  <c r="L2" i="4"/>
  <c r="J2" i="4"/>
  <c r="K47" i="3"/>
  <c r="I47" i="3"/>
  <c r="K46" i="3"/>
  <c r="I46" i="3"/>
  <c r="K45" i="3"/>
  <c r="I45" i="3"/>
  <c r="K44" i="3"/>
  <c r="I44" i="3"/>
  <c r="K43" i="3"/>
  <c r="I43" i="3"/>
  <c r="K42" i="3"/>
  <c r="I42" i="3"/>
  <c r="K41" i="3"/>
  <c r="I41" i="3"/>
  <c r="K40" i="3"/>
  <c r="I40" i="3"/>
  <c r="K39" i="3"/>
  <c r="I39" i="3"/>
  <c r="K38" i="3"/>
  <c r="I38" i="3"/>
  <c r="K37" i="3"/>
  <c r="I37" i="3"/>
  <c r="K36" i="3"/>
  <c r="I36" i="3"/>
  <c r="K63" i="3"/>
  <c r="I63" i="3"/>
  <c r="K62" i="3"/>
  <c r="I62" i="3"/>
  <c r="K61" i="3"/>
  <c r="I61" i="3"/>
  <c r="K60" i="3"/>
  <c r="I60" i="3"/>
  <c r="K59" i="3"/>
  <c r="I59" i="3"/>
  <c r="K58" i="3"/>
  <c r="I58" i="3"/>
  <c r="K57" i="3"/>
  <c r="I57" i="3"/>
  <c r="K56" i="3"/>
  <c r="I56" i="3"/>
  <c r="K55" i="3"/>
  <c r="I55" i="3"/>
  <c r="K54" i="3"/>
  <c r="I54" i="3"/>
  <c r="K53" i="3"/>
  <c r="I53" i="3"/>
  <c r="K52" i="3"/>
  <c r="I52" i="3"/>
  <c r="K31" i="3"/>
  <c r="I31" i="3"/>
  <c r="K30" i="3"/>
  <c r="I30" i="3"/>
  <c r="K29" i="3"/>
  <c r="I29" i="3"/>
  <c r="K28" i="3"/>
  <c r="I28" i="3"/>
  <c r="K27" i="3"/>
  <c r="I27" i="3"/>
  <c r="K26" i="3"/>
  <c r="I26" i="3"/>
  <c r="K25" i="3"/>
  <c r="I25" i="3"/>
  <c r="K24" i="3"/>
  <c r="I24" i="3"/>
  <c r="K23" i="3"/>
  <c r="I23" i="3"/>
  <c r="K22" i="3"/>
  <c r="I22" i="3"/>
  <c r="K21" i="3"/>
  <c r="I21" i="3"/>
  <c r="K20" i="3"/>
  <c r="I20" i="3"/>
  <c r="K15" i="3"/>
  <c r="I15" i="3"/>
  <c r="K14" i="3"/>
  <c r="I14" i="3"/>
  <c r="K13" i="3"/>
  <c r="I13" i="3"/>
  <c r="K12" i="3"/>
  <c r="I12" i="3"/>
  <c r="K11" i="3"/>
  <c r="I11" i="3"/>
  <c r="K10" i="3"/>
  <c r="I10" i="3"/>
  <c r="K9" i="3"/>
  <c r="I9" i="3"/>
  <c r="K8" i="3"/>
  <c r="I8" i="3"/>
  <c r="K7" i="3"/>
  <c r="I7" i="3"/>
  <c r="K6" i="3"/>
  <c r="I6" i="3"/>
  <c r="K5" i="3"/>
  <c r="I5" i="3"/>
  <c r="K4" i="3"/>
  <c r="I4" i="3"/>
  <c r="L77" i="1"/>
  <c r="J77" i="1"/>
  <c r="L76" i="1"/>
  <c r="J76" i="1"/>
  <c r="L75" i="1"/>
  <c r="J75" i="1"/>
  <c r="L74" i="1"/>
  <c r="J74" i="1"/>
  <c r="L73" i="1"/>
  <c r="J73" i="1"/>
  <c r="L72" i="1"/>
  <c r="J72" i="1"/>
  <c r="L71" i="1"/>
  <c r="J71" i="1"/>
  <c r="L70" i="1"/>
  <c r="J70" i="1"/>
  <c r="L69" i="1"/>
  <c r="J69" i="1"/>
  <c r="L68" i="1"/>
  <c r="J68" i="1"/>
  <c r="L67" i="1"/>
  <c r="J67" i="1"/>
  <c r="L66" i="1"/>
  <c r="J66" i="1"/>
  <c r="L61" i="1"/>
  <c r="J61" i="1"/>
  <c r="L60" i="1"/>
  <c r="J60" i="1"/>
  <c r="L59" i="1"/>
  <c r="J59" i="1"/>
  <c r="L58" i="1"/>
  <c r="J58" i="1"/>
  <c r="L57" i="1"/>
  <c r="J57" i="1"/>
  <c r="L56" i="1"/>
  <c r="J56" i="1"/>
  <c r="L55" i="1"/>
  <c r="J55" i="1"/>
  <c r="L54" i="1"/>
  <c r="J54" i="1"/>
  <c r="L53" i="1"/>
  <c r="J53" i="1"/>
  <c r="L52" i="1"/>
  <c r="J52" i="1"/>
  <c r="L51" i="1"/>
  <c r="J51" i="1"/>
  <c r="L50" i="1"/>
  <c r="J50" i="1"/>
  <c r="L45" i="1"/>
  <c r="J45" i="1"/>
  <c r="L44" i="1"/>
  <c r="J44" i="1"/>
  <c r="L43" i="1"/>
  <c r="J43" i="1"/>
  <c r="L42" i="1"/>
  <c r="J42" i="1"/>
  <c r="L41" i="1"/>
  <c r="J41" i="1"/>
  <c r="L40" i="1"/>
  <c r="J40" i="1"/>
  <c r="L39" i="1"/>
  <c r="J39" i="1"/>
  <c r="L38" i="1"/>
  <c r="J38" i="1"/>
  <c r="L37" i="1"/>
  <c r="J37" i="1"/>
  <c r="L36" i="1"/>
  <c r="J36" i="1"/>
  <c r="L35" i="1"/>
  <c r="J35" i="1"/>
  <c r="L34" i="1"/>
  <c r="J34" i="1"/>
  <c r="L30" i="1"/>
  <c r="J30" i="1"/>
  <c r="L29" i="1"/>
  <c r="J29" i="1"/>
  <c r="L28" i="1"/>
  <c r="J28" i="1"/>
  <c r="L27" i="1"/>
  <c r="J27" i="1"/>
  <c r="L26" i="1"/>
  <c r="J26" i="1"/>
  <c r="L25" i="1"/>
  <c r="J25" i="1"/>
  <c r="L24" i="1"/>
  <c r="J24" i="1"/>
  <c r="L23" i="1"/>
  <c r="J23" i="1"/>
  <c r="L22" i="1"/>
  <c r="J22" i="1"/>
  <c r="L21" i="1"/>
  <c r="J21" i="1"/>
  <c r="L20" i="1"/>
  <c r="J20" i="1"/>
  <c r="L19" i="1"/>
  <c r="J19" i="1"/>
  <c r="L14" i="1"/>
  <c r="J14" i="1"/>
  <c r="L13" i="1"/>
  <c r="J13" i="1"/>
  <c r="L12" i="1"/>
  <c r="J12" i="1"/>
  <c r="L11" i="1"/>
  <c r="J11" i="1"/>
  <c r="L10" i="1"/>
  <c r="J10" i="1"/>
  <c r="L9" i="1"/>
  <c r="J9" i="1"/>
  <c r="L8" i="1"/>
  <c r="J8" i="1"/>
  <c r="L7" i="1"/>
  <c r="J7" i="1"/>
  <c r="L6" i="1"/>
  <c r="J6" i="1"/>
  <c r="L5" i="1"/>
  <c r="J5" i="1"/>
  <c r="L4" i="1"/>
  <c r="J4" i="1"/>
  <c r="L3" i="1"/>
  <c r="J3" i="1"/>
  <c r="L75" i="2"/>
  <c r="J75" i="2"/>
  <c r="L74" i="2"/>
  <c r="J74" i="2"/>
  <c r="L73" i="2"/>
  <c r="J73" i="2"/>
  <c r="L72" i="2"/>
  <c r="J72" i="2"/>
  <c r="L71" i="2"/>
  <c r="J71" i="2"/>
  <c r="L70" i="2"/>
  <c r="J70" i="2"/>
  <c r="L69" i="2"/>
  <c r="J69" i="2"/>
  <c r="L68" i="2"/>
  <c r="J68" i="2"/>
  <c r="L67" i="2"/>
  <c r="J67" i="2"/>
  <c r="L66" i="2"/>
  <c r="J66" i="2"/>
  <c r="L65" i="2"/>
  <c r="J65" i="2"/>
  <c r="L64" i="2"/>
  <c r="J64" i="2"/>
  <c r="L60" i="2"/>
  <c r="J60" i="2"/>
  <c r="L59" i="2"/>
  <c r="J59" i="2"/>
  <c r="L58" i="2"/>
  <c r="J58" i="2"/>
  <c r="L57" i="2"/>
  <c r="J57" i="2"/>
  <c r="L56" i="2"/>
  <c r="J56" i="2"/>
  <c r="L55" i="2"/>
  <c r="J55" i="2"/>
  <c r="L54" i="2"/>
  <c r="J54" i="2"/>
  <c r="L53" i="2"/>
  <c r="J53" i="2"/>
  <c r="L52" i="2"/>
  <c r="J52" i="2"/>
  <c r="L51" i="2"/>
  <c r="J51" i="2"/>
  <c r="L50" i="2"/>
  <c r="J50" i="2"/>
  <c r="L49" i="2"/>
  <c r="J49" i="2"/>
  <c r="L45" i="2"/>
  <c r="J45" i="2"/>
  <c r="L44" i="2"/>
  <c r="J44" i="2"/>
  <c r="L43" i="2"/>
  <c r="J43" i="2"/>
  <c r="L42" i="2"/>
  <c r="J42" i="2"/>
  <c r="L41" i="2"/>
  <c r="J41" i="2"/>
  <c r="L40" i="2"/>
  <c r="J40" i="2"/>
  <c r="L39" i="2"/>
  <c r="J39" i="2"/>
  <c r="L38" i="2"/>
  <c r="J38" i="2"/>
  <c r="L37" i="2"/>
  <c r="J37" i="2"/>
  <c r="L36" i="2"/>
  <c r="J36" i="2"/>
  <c r="L35" i="2"/>
  <c r="J35" i="2"/>
  <c r="L34" i="2"/>
  <c r="J34" i="2"/>
  <c r="L30" i="2"/>
  <c r="J30" i="2"/>
  <c r="L29" i="2"/>
  <c r="J29" i="2"/>
  <c r="L28" i="2"/>
  <c r="J28" i="2"/>
  <c r="L27" i="2"/>
  <c r="J27" i="2"/>
  <c r="L26" i="2"/>
  <c r="J26" i="2"/>
  <c r="L25" i="2"/>
  <c r="J25" i="2"/>
  <c r="L24" i="2"/>
  <c r="J24" i="2"/>
  <c r="L23" i="2"/>
  <c r="J23" i="2"/>
  <c r="L22" i="2"/>
  <c r="J22" i="2"/>
  <c r="L21" i="2"/>
  <c r="J21" i="2"/>
  <c r="L20" i="2"/>
  <c r="J20" i="2"/>
  <c r="L19" i="2"/>
  <c r="J19" i="2"/>
  <c r="L15" i="2"/>
  <c r="J15" i="2"/>
  <c r="L14" i="2"/>
  <c r="J14" i="2"/>
  <c r="L13" i="2"/>
  <c r="J13" i="2"/>
  <c r="L12" i="2"/>
  <c r="J12" i="2"/>
  <c r="L11" i="2"/>
  <c r="J11" i="2"/>
  <c r="L10" i="2"/>
  <c r="J10" i="2"/>
  <c r="L9" i="2"/>
  <c r="J9" i="2"/>
  <c r="L8" i="2"/>
  <c r="J8" i="2"/>
  <c r="L7" i="2"/>
  <c r="J7" i="2"/>
  <c r="L6" i="2"/>
  <c r="J6" i="2"/>
  <c r="L5" i="2"/>
  <c r="J5" i="2"/>
  <c r="L4" i="2"/>
  <c r="J4" i="2"/>
</calcChain>
</file>

<file path=xl/sharedStrings.xml><?xml version="1.0" encoding="utf-8"?>
<sst xmlns="http://schemas.openxmlformats.org/spreadsheetml/2006/main" count="264" uniqueCount="22">
  <si>
    <t>v_in</t>
  </si>
  <si>
    <t>Re</t>
    <phoneticPr fontId="2" type="noConversion"/>
  </si>
  <si>
    <t>Tin</t>
  </si>
  <si>
    <t>Tout</t>
  </si>
  <si>
    <t>Pin</t>
  </si>
  <si>
    <t>Pout</t>
  </si>
  <si>
    <t>ΔP(Pa)</t>
  </si>
  <si>
    <t>Twall</t>
  </si>
  <si>
    <t>Q(W)</t>
  </si>
  <si>
    <t>Tbottom_avg</t>
  </si>
  <si>
    <t>Tmax_bottom</t>
  </si>
  <si>
    <t>Twall_avg</t>
  </si>
  <si>
    <t>f</t>
  </si>
  <si>
    <t>Nu</t>
  </si>
  <si>
    <t>PEC</t>
  </si>
  <si>
    <t>Re</t>
  </si>
  <si>
    <t>(v_{in}) (m/s)</t>
  </si>
  <si>
    <t>(f_{sim})（仿真）</t>
  </si>
  <si>
    <t>Inlet_Velocity (m/s)</t>
    <phoneticPr fontId="1" type="noConversion"/>
  </si>
  <si>
    <t>Lambda (mm)</t>
  </si>
  <si>
    <t>Amplitude (mm)</t>
  </si>
  <si>
    <t>Pin_Height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</si>
</sst>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329D-D1A8-4A39-BA37-6F83A6C00A7B}">
  <dimension ref="A1:P169"/>
  <sheetViews>
    <sheetView tabSelected="1" workbookViewId="0">
      <selection activeCell="C1" sqref="C1"/>
    </sheetView>
  </sheetViews>
  <sheetFormatPr defaultRowHeight="15"/>
  <cols>
    <col min="1" max="1" width="13.28515625" bestFit="1" customWidth="1"/>
    <col min="2" max="2" width="15.85546875" bestFit="1" customWidth="1"/>
    <col min="3" max="3" width="15.5703125" bestFit="1" customWidth="1"/>
    <col min="16" max="16" width="16.140625" customWidth="1"/>
  </cols>
  <sheetData>
    <row r="1" spans="1:16">
      <c r="A1" t="s">
        <v>19</v>
      </c>
      <c r="B1" t="s">
        <v>20</v>
      </c>
      <c r="C1" t="s">
        <v>21</v>
      </c>
      <c r="D1" s="1" t="s">
        <v>0</v>
      </c>
      <c r="E1" s="1" t="s">
        <v>15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/>
      <c r="N1" s="1" t="s">
        <v>9</v>
      </c>
      <c r="O1" s="1" t="s">
        <v>10</v>
      </c>
      <c r="P1" s="1" t="s">
        <v>11</v>
      </c>
    </row>
    <row r="2" spans="1:16">
      <c r="A2" s="1">
        <v>5</v>
      </c>
      <c r="B2" s="1">
        <v>0.15</v>
      </c>
      <c r="C2" s="1">
        <v>0.3</v>
      </c>
      <c r="D2" s="1">
        <v>0.38879999999999998</v>
      </c>
      <c r="E2" s="1"/>
      <c r="F2" s="1">
        <v>294.62</v>
      </c>
      <c r="G2" s="1">
        <v>321.3</v>
      </c>
      <c r="H2" s="1">
        <v>3709.1</v>
      </c>
      <c r="I2" s="1">
        <v>169.35</v>
      </c>
      <c r="J2" s="1">
        <f t="shared" ref="J2:J37" si="0">H2-I2</f>
        <v>3539.75</v>
      </c>
      <c r="K2" s="1">
        <v>325.23</v>
      </c>
      <c r="L2" s="1">
        <f t="shared" ref="L2:L37" si="1">M2*2</f>
        <v>18.440799999999999</v>
      </c>
      <c r="M2" s="1">
        <v>9.2203999999999997</v>
      </c>
      <c r="N2" s="1">
        <v>325.82</v>
      </c>
      <c r="O2" s="1">
        <v>335.74</v>
      </c>
      <c r="P2" s="1">
        <v>325.23</v>
      </c>
    </row>
    <row r="3" spans="1:16">
      <c r="A3" s="1">
        <v>5</v>
      </c>
      <c r="B3" s="1">
        <v>0.15</v>
      </c>
      <c r="C3" s="1">
        <v>0.3</v>
      </c>
      <c r="D3" s="1">
        <v>0.46650000000000003</v>
      </c>
      <c r="E3" s="1"/>
      <c r="F3" s="1">
        <v>294.29000000000002</v>
      </c>
      <c r="G3" s="1">
        <v>316.45</v>
      </c>
      <c r="H3" s="1">
        <v>4668.5</v>
      </c>
      <c r="I3" s="1">
        <v>184.83</v>
      </c>
      <c r="J3" s="1">
        <f t="shared" si="0"/>
        <v>4483.67</v>
      </c>
      <c r="K3" s="1">
        <v>320.58999999999997</v>
      </c>
      <c r="L3" s="1">
        <f t="shared" si="1"/>
        <v>18.536999999999999</v>
      </c>
      <c r="M3" s="1">
        <v>9.2684999999999995</v>
      </c>
      <c r="N3" s="1">
        <v>321.16000000000003</v>
      </c>
      <c r="O3" s="1">
        <v>329.36</v>
      </c>
      <c r="P3" s="1">
        <v>320.58999999999997</v>
      </c>
    </row>
    <row r="4" spans="1:16">
      <c r="A4" s="1">
        <v>5</v>
      </c>
      <c r="B4" s="1">
        <v>0.15</v>
      </c>
      <c r="C4" s="1">
        <v>0.3</v>
      </c>
      <c r="D4" s="1">
        <v>0.54430000000000001</v>
      </c>
      <c r="E4" s="1"/>
      <c r="F4" s="1">
        <v>294.07</v>
      </c>
      <c r="G4" s="1">
        <v>313.31</v>
      </c>
      <c r="H4" s="1">
        <v>5697.7</v>
      </c>
      <c r="I4" s="1">
        <v>195.05</v>
      </c>
      <c r="J4" s="1">
        <f t="shared" si="0"/>
        <v>5502.65</v>
      </c>
      <c r="K4" s="1">
        <v>317.27</v>
      </c>
      <c r="L4" s="1">
        <f t="shared" si="1"/>
        <v>18.6266</v>
      </c>
      <c r="M4" s="1">
        <v>9.3132999999999999</v>
      </c>
      <c r="N4" s="1">
        <v>317.82</v>
      </c>
      <c r="O4" s="1">
        <v>324.95999999999998</v>
      </c>
      <c r="P4" s="1">
        <v>317.27</v>
      </c>
    </row>
    <row r="5" spans="1:16">
      <c r="A5" s="1">
        <v>5</v>
      </c>
      <c r="B5" s="1">
        <v>0.15</v>
      </c>
      <c r="C5" s="1">
        <v>0.3</v>
      </c>
      <c r="D5" s="1">
        <v>0.622</v>
      </c>
      <c r="E5" s="1"/>
      <c r="F5" s="1">
        <v>293.91000000000003</v>
      </c>
      <c r="G5" s="1">
        <v>310.69</v>
      </c>
      <c r="H5" s="1">
        <v>6795.9</v>
      </c>
      <c r="I5" s="1">
        <v>200.29</v>
      </c>
      <c r="J5" s="1">
        <f t="shared" si="0"/>
        <v>6595.61</v>
      </c>
      <c r="K5" s="1">
        <v>314.64999999999998</v>
      </c>
      <c r="L5" s="1">
        <f t="shared" si="1"/>
        <v>18.688400000000001</v>
      </c>
      <c r="M5" s="1">
        <v>9.3442000000000007</v>
      </c>
      <c r="N5" s="1">
        <v>315.18</v>
      </c>
      <c r="O5" s="1">
        <v>321.41000000000003</v>
      </c>
      <c r="P5" s="1">
        <v>314.64999999999998</v>
      </c>
    </row>
    <row r="6" spans="1:16">
      <c r="A6" s="1">
        <v>5</v>
      </c>
      <c r="B6" s="1">
        <v>0.15</v>
      </c>
      <c r="C6" s="1">
        <v>0.3</v>
      </c>
      <c r="D6" s="1">
        <v>0.69979999999999998</v>
      </c>
      <c r="E6" s="1"/>
      <c r="F6" s="1">
        <v>293.79000000000002</v>
      </c>
      <c r="G6" s="1">
        <v>308.60000000000002</v>
      </c>
      <c r="H6" s="1">
        <v>7965.8</v>
      </c>
      <c r="I6" s="1">
        <v>200.4</v>
      </c>
      <c r="J6" s="1">
        <f t="shared" si="0"/>
        <v>7765.4000000000005</v>
      </c>
      <c r="K6" s="1">
        <v>312.58999999999997</v>
      </c>
      <c r="L6" s="1">
        <f t="shared" si="1"/>
        <v>18.747199999999999</v>
      </c>
      <c r="M6" s="1">
        <v>9.3735999999999997</v>
      </c>
      <c r="N6" s="1">
        <v>313.11</v>
      </c>
      <c r="O6" s="1">
        <v>318.64</v>
      </c>
      <c r="P6" s="1">
        <v>312.58999999999997</v>
      </c>
    </row>
    <row r="7" spans="1:16">
      <c r="A7" s="1">
        <v>5</v>
      </c>
      <c r="B7" s="1">
        <v>0.15</v>
      </c>
      <c r="C7" s="1">
        <v>0.3</v>
      </c>
      <c r="D7" s="1">
        <v>0.77749999999999997</v>
      </c>
      <c r="E7" s="1"/>
      <c r="F7" s="1">
        <v>293.70999999999998</v>
      </c>
      <c r="G7" s="1">
        <v>307.22000000000003</v>
      </c>
      <c r="H7" s="1">
        <v>9201.4</v>
      </c>
      <c r="I7" s="1">
        <v>195</v>
      </c>
      <c r="J7" s="1">
        <f t="shared" si="0"/>
        <v>9006.4</v>
      </c>
      <c r="K7" s="1">
        <v>311.02</v>
      </c>
      <c r="L7" s="1">
        <f t="shared" si="1"/>
        <v>18.801200000000001</v>
      </c>
      <c r="M7" s="1">
        <v>9.4006000000000007</v>
      </c>
      <c r="N7" s="1">
        <v>311.54000000000002</v>
      </c>
      <c r="O7" s="1">
        <v>316.64</v>
      </c>
      <c r="P7" s="1">
        <v>311.02</v>
      </c>
    </row>
    <row r="8" spans="1:16">
      <c r="A8" s="1">
        <v>5</v>
      </c>
      <c r="B8" s="1">
        <v>0.15</v>
      </c>
      <c r="C8" s="1">
        <v>0.3</v>
      </c>
      <c r="D8" s="1">
        <v>0.85529999999999995</v>
      </c>
      <c r="E8" s="1"/>
      <c r="F8" s="1">
        <v>293.64</v>
      </c>
      <c r="G8" s="1">
        <v>305.92</v>
      </c>
      <c r="H8" s="1">
        <v>10506</v>
      </c>
      <c r="I8" s="1">
        <v>184.02</v>
      </c>
      <c r="J8" s="1">
        <f t="shared" si="0"/>
        <v>10321.98</v>
      </c>
      <c r="K8" s="1">
        <v>309.7</v>
      </c>
      <c r="L8" s="1">
        <f t="shared" si="1"/>
        <v>18.8462</v>
      </c>
      <c r="M8" s="1">
        <v>9.4230999999999998</v>
      </c>
      <c r="N8" s="1">
        <v>310.20999999999998</v>
      </c>
      <c r="O8" s="1">
        <v>314.89</v>
      </c>
      <c r="P8" s="1">
        <v>309.7</v>
      </c>
    </row>
    <row r="9" spans="1:16">
      <c r="A9" s="1">
        <v>5</v>
      </c>
      <c r="B9" s="1">
        <v>0.15</v>
      </c>
      <c r="C9" s="1">
        <v>0.3</v>
      </c>
      <c r="D9" s="1">
        <v>0.93300000000000005</v>
      </c>
      <c r="E9" s="1"/>
      <c r="F9" s="1">
        <v>293.58</v>
      </c>
      <c r="G9" s="1">
        <v>304.95999999999998</v>
      </c>
      <c r="H9" s="1">
        <v>11873</v>
      </c>
      <c r="I9" s="1">
        <v>166.86</v>
      </c>
      <c r="J9" s="1">
        <f t="shared" si="0"/>
        <v>11706.14</v>
      </c>
      <c r="K9" s="1">
        <v>308.62</v>
      </c>
      <c r="L9" s="1">
        <f t="shared" si="1"/>
        <v>18.880800000000001</v>
      </c>
      <c r="M9" s="1">
        <v>9.4404000000000003</v>
      </c>
      <c r="N9" s="1">
        <v>309.13</v>
      </c>
      <c r="O9" s="1">
        <v>313.51</v>
      </c>
      <c r="P9" s="1">
        <v>308.62</v>
      </c>
    </row>
    <row r="10" spans="1:16">
      <c r="A10" s="1">
        <v>5</v>
      </c>
      <c r="B10" s="1">
        <v>0.15</v>
      </c>
      <c r="C10" s="1">
        <v>0.3</v>
      </c>
      <c r="D10" s="1">
        <v>1.0107999999999999</v>
      </c>
      <c r="E10" s="1"/>
      <c r="F10" s="1">
        <v>293.54000000000002</v>
      </c>
      <c r="G10" s="1">
        <v>304.05</v>
      </c>
      <c r="H10" s="1">
        <v>13306</v>
      </c>
      <c r="I10" s="1">
        <v>143.47999999999999</v>
      </c>
      <c r="J10" s="1">
        <f t="shared" si="0"/>
        <v>13162.52</v>
      </c>
      <c r="K10" s="1">
        <v>307.68</v>
      </c>
      <c r="L10" s="1">
        <f t="shared" si="1"/>
        <v>18.908999999999999</v>
      </c>
      <c r="M10" s="1">
        <v>9.4544999999999995</v>
      </c>
      <c r="N10" s="1">
        <v>308.19</v>
      </c>
      <c r="O10" s="1">
        <v>312.27999999999997</v>
      </c>
      <c r="P10" s="1">
        <v>307.68</v>
      </c>
    </row>
    <row r="11" spans="1:16">
      <c r="A11" s="1">
        <v>5</v>
      </c>
      <c r="B11" s="1">
        <v>0.15</v>
      </c>
      <c r="C11" s="1">
        <v>0.3</v>
      </c>
      <c r="D11" s="1">
        <v>1.0885</v>
      </c>
      <c r="E11" s="1"/>
      <c r="F11" s="1">
        <v>293.5</v>
      </c>
      <c r="G11" s="1">
        <v>303.33</v>
      </c>
      <c r="H11" s="1">
        <v>14795</v>
      </c>
      <c r="I11" s="1">
        <v>113.25</v>
      </c>
      <c r="J11" s="1">
        <f t="shared" si="0"/>
        <v>14681.75</v>
      </c>
      <c r="K11" s="1">
        <v>306.89999999999998</v>
      </c>
      <c r="L11" s="1">
        <f t="shared" si="1"/>
        <v>18.936800000000002</v>
      </c>
      <c r="M11" s="1">
        <v>9.4684000000000008</v>
      </c>
      <c r="N11" s="1">
        <v>307.39999999999998</v>
      </c>
      <c r="O11" s="1">
        <v>311.27999999999997</v>
      </c>
      <c r="P11" s="1">
        <v>306.89999999999998</v>
      </c>
    </row>
    <row r="12" spans="1:16">
      <c r="A12" s="1">
        <v>5</v>
      </c>
      <c r="B12" s="1">
        <v>0.15</v>
      </c>
      <c r="C12" s="1">
        <v>0.3</v>
      </c>
      <c r="D12" s="1">
        <v>1.1662999999999999</v>
      </c>
      <c r="E12" s="1"/>
      <c r="F12" s="1">
        <v>293.47000000000003</v>
      </c>
      <c r="G12" s="1">
        <v>302.69</v>
      </c>
      <c r="H12" s="1">
        <v>16345</v>
      </c>
      <c r="I12" s="1">
        <v>76.197000000000003</v>
      </c>
      <c r="J12" s="1">
        <f t="shared" si="0"/>
        <v>16268.803</v>
      </c>
      <c r="K12" s="1">
        <v>306.22000000000003</v>
      </c>
      <c r="L12" s="1">
        <f t="shared" si="1"/>
        <v>18.9664</v>
      </c>
      <c r="M12" s="1">
        <v>9.4832000000000001</v>
      </c>
      <c r="N12" s="1">
        <v>306.72000000000003</v>
      </c>
      <c r="O12" s="1">
        <v>310.39999999999998</v>
      </c>
      <c r="P12" s="1">
        <v>306.22000000000003</v>
      </c>
    </row>
    <row r="13" spans="1:16">
      <c r="A13" s="1">
        <v>5</v>
      </c>
      <c r="B13" s="1">
        <v>0.15</v>
      </c>
      <c r="C13" s="1">
        <v>0.3</v>
      </c>
      <c r="D13" s="1">
        <v>1.244</v>
      </c>
      <c r="E13" s="1"/>
      <c r="F13" s="1">
        <v>293.44</v>
      </c>
      <c r="G13" s="1">
        <v>302.12</v>
      </c>
      <c r="H13" s="1">
        <v>17950</v>
      </c>
      <c r="I13" s="1">
        <v>32.582999999999998</v>
      </c>
      <c r="J13" s="1">
        <f t="shared" si="0"/>
        <v>17917.417000000001</v>
      </c>
      <c r="K13" s="1">
        <v>305.61</v>
      </c>
      <c r="L13" s="1">
        <f t="shared" si="1"/>
        <v>18.9742</v>
      </c>
      <c r="M13" s="1">
        <v>9.4870999999999999</v>
      </c>
      <c r="N13" s="1">
        <v>306.11</v>
      </c>
      <c r="O13" s="1">
        <v>309.61</v>
      </c>
      <c r="P13" s="1">
        <v>305.61</v>
      </c>
    </row>
    <row r="14" spans="1:16">
      <c r="A14" s="1">
        <v>6.25</v>
      </c>
      <c r="B14" s="1">
        <v>0.15</v>
      </c>
      <c r="C14" s="1">
        <v>0.3</v>
      </c>
      <c r="D14" s="1">
        <v>0.38879999999999998</v>
      </c>
      <c r="E14" s="1"/>
      <c r="F14" s="1">
        <v>294.72000000000003</v>
      </c>
      <c r="G14" s="1">
        <v>321.33</v>
      </c>
      <c r="H14" s="1">
        <v>3493.8</v>
      </c>
      <c r="I14" s="1">
        <v>169.32</v>
      </c>
      <c r="J14" s="1">
        <f t="shared" si="0"/>
        <v>3324.48</v>
      </c>
      <c r="K14" s="1">
        <v>327.79</v>
      </c>
      <c r="L14" s="1">
        <f t="shared" si="1"/>
        <v>18.2606</v>
      </c>
      <c r="M14" s="1">
        <v>9.1303000000000001</v>
      </c>
      <c r="N14" s="1">
        <v>328.43</v>
      </c>
      <c r="O14" s="1">
        <v>338.68</v>
      </c>
      <c r="P14" s="1">
        <v>327.79</v>
      </c>
    </row>
    <row r="15" spans="1:16">
      <c r="A15" s="1">
        <v>6.25</v>
      </c>
      <c r="B15" s="1">
        <v>0.15</v>
      </c>
      <c r="C15" s="1">
        <v>0.3</v>
      </c>
      <c r="D15" s="1">
        <v>0.46650000000000003</v>
      </c>
      <c r="E15" s="1"/>
      <c r="F15" s="1">
        <v>294.37</v>
      </c>
      <c r="G15" s="1">
        <v>316.47000000000003</v>
      </c>
      <c r="H15" s="1">
        <v>4369.7</v>
      </c>
      <c r="I15" s="1">
        <v>184.48</v>
      </c>
      <c r="J15" s="1">
        <f t="shared" si="0"/>
        <v>4185.22</v>
      </c>
      <c r="K15" s="1">
        <v>323.17</v>
      </c>
      <c r="L15" s="1">
        <f t="shared" si="1"/>
        <v>18.365400000000001</v>
      </c>
      <c r="M15" s="1">
        <v>9.1827000000000005</v>
      </c>
      <c r="N15" s="1">
        <v>323.77999999999997</v>
      </c>
      <c r="O15" s="1">
        <v>332.31</v>
      </c>
      <c r="P15" s="1">
        <v>323.17</v>
      </c>
    </row>
    <row r="16" spans="1:16">
      <c r="A16" s="1">
        <v>6.25</v>
      </c>
      <c r="B16" s="1">
        <v>0.15</v>
      </c>
      <c r="C16" s="1">
        <v>0.3</v>
      </c>
      <c r="D16" s="1">
        <v>0.54430000000000001</v>
      </c>
      <c r="E16" s="1"/>
      <c r="F16" s="1">
        <v>294.14</v>
      </c>
      <c r="G16" s="1">
        <v>313.07</v>
      </c>
      <c r="H16" s="1">
        <v>5298.9</v>
      </c>
      <c r="I16" s="1">
        <v>194.44</v>
      </c>
      <c r="J16" s="1">
        <f t="shared" si="0"/>
        <v>5104.46</v>
      </c>
      <c r="K16" s="1">
        <v>319.74</v>
      </c>
      <c r="L16" s="1">
        <f t="shared" si="1"/>
        <v>18.462800000000001</v>
      </c>
      <c r="M16" s="1">
        <v>9.2314000000000007</v>
      </c>
      <c r="N16" s="1">
        <v>320.33</v>
      </c>
      <c r="O16" s="1">
        <v>327.66000000000003</v>
      </c>
      <c r="P16" s="1">
        <v>319.74</v>
      </c>
    </row>
    <row r="17" spans="1:16">
      <c r="A17" s="1">
        <v>6.25</v>
      </c>
      <c r="B17" s="1">
        <v>0.15</v>
      </c>
      <c r="C17" s="1">
        <v>0.3</v>
      </c>
      <c r="D17" s="1">
        <v>0.622</v>
      </c>
      <c r="E17" s="1"/>
      <c r="F17" s="1">
        <v>293.98</v>
      </c>
      <c r="G17" s="1">
        <v>310.45</v>
      </c>
      <c r="H17" s="1">
        <v>6278.8</v>
      </c>
      <c r="I17" s="1">
        <v>199.1</v>
      </c>
      <c r="J17" s="1">
        <f t="shared" si="0"/>
        <v>6079.7</v>
      </c>
      <c r="K17" s="1">
        <v>317.02</v>
      </c>
      <c r="L17" s="1">
        <f t="shared" si="1"/>
        <v>18.540800000000001</v>
      </c>
      <c r="M17" s="1">
        <v>9.2704000000000004</v>
      </c>
      <c r="N17" s="1">
        <v>317.60000000000002</v>
      </c>
      <c r="O17" s="1">
        <v>323.97000000000003</v>
      </c>
      <c r="P17" s="1">
        <v>317.02</v>
      </c>
    </row>
    <row r="18" spans="1:16">
      <c r="A18" s="1">
        <v>6.25</v>
      </c>
      <c r="B18" s="1">
        <v>0.15</v>
      </c>
      <c r="C18" s="1">
        <v>0.3</v>
      </c>
      <c r="D18" s="1">
        <v>0.69979999999999998</v>
      </c>
      <c r="E18" s="1"/>
      <c r="F18" s="1">
        <v>293.85000000000002</v>
      </c>
      <c r="G18" s="1">
        <v>308.74</v>
      </c>
      <c r="H18" s="1">
        <v>7311.3</v>
      </c>
      <c r="I18" s="1">
        <v>198.19</v>
      </c>
      <c r="J18" s="1">
        <f t="shared" si="0"/>
        <v>7113.1100000000006</v>
      </c>
      <c r="K18" s="1">
        <v>314.92</v>
      </c>
      <c r="L18" s="1">
        <f t="shared" si="1"/>
        <v>18.6082</v>
      </c>
      <c r="M18" s="1">
        <v>9.3041</v>
      </c>
      <c r="N18" s="1">
        <v>315.48</v>
      </c>
      <c r="O18" s="1">
        <v>321.24</v>
      </c>
      <c r="P18" s="1">
        <v>314.92</v>
      </c>
    </row>
    <row r="19" spans="1:16">
      <c r="A19" s="1">
        <v>6.25</v>
      </c>
      <c r="B19" s="1">
        <v>0.15</v>
      </c>
      <c r="C19" s="1">
        <v>0.3</v>
      </c>
      <c r="D19" s="1">
        <v>0.77749999999999997</v>
      </c>
      <c r="E19" s="1"/>
      <c r="F19" s="1">
        <v>293.76</v>
      </c>
      <c r="G19" s="1">
        <v>307.10000000000002</v>
      </c>
      <c r="H19" s="1">
        <v>8397.6</v>
      </c>
      <c r="I19" s="1">
        <v>192.17</v>
      </c>
      <c r="J19" s="1">
        <f t="shared" si="0"/>
        <v>8205.43</v>
      </c>
      <c r="K19" s="1">
        <v>313.10000000000002</v>
      </c>
      <c r="L19" s="1">
        <f t="shared" si="1"/>
        <v>18.659800000000001</v>
      </c>
      <c r="M19" s="1">
        <v>9.3299000000000003</v>
      </c>
      <c r="N19" s="1">
        <v>313.64999999999998</v>
      </c>
      <c r="O19" s="1">
        <v>318.79000000000002</v>
      </c>
      <c r="P19" s="1">
        <v>313.10000000000002</v>
      </c>
    </row>
    <row r="20" spans="1:16">
      <c r="A20" s="1">
        <v>6.25</v>
      </c>
      <c r="B20" s="1">
        <v>0.15</v>
      </c>
      <c r="C20" s="1">
        <v>0.3</v>
      </c>
      <c r="D20" s="1">
        <v>0.85529999999999995</v>
      </c>
      <c r="E20" s="1"/>
      <c r="F20" s="1">
        <v>293.68</v>
      </c>
      <c r="G20" s="1">
        <v>306.23</v>
      </c>
      <c r="H20" s="1">
        <v>9537.4</v>
      </c>
      <c r="I20" s="1">
        <v>180.13</v>
      </c>
      <c r="J20" s="1">
        <f t="shared" si="0"/>
        <v>9357.27</v>
      </c>
      <c r="K20" s="1">
        <v>311.70999999999998</v>
      </c>
      <c r="L20" s="1">
        <f t="shared" si="1"/>
        <v>18.704999999999998</v>
      </c>
      <c r="M20" s="1">
        <v>9.3524999999999991</v>
      </c>
      <c r="N20" s="1">
        <v>312.26</v>
      </c>
      <c r="O20" s="1">
        <v>317.10000000000002</v>
      </c>
      <c r="P20" s="1">
        <v>311.70999999999998</v>
      </c>
    </row>
    <row r="21" spans="1:16">
      <c r="A21" s="1">
        <v>6.25</v>
      </c>
      <c r="B21" s="1">
        <v>0.15</v>
      </c>
      <c r="C21" s="1">
        <v>0.3</v>
      </c>
      <c r="D21" s="1">
        <v>0.93300000000000005</v>
      </c>
      <c r="E21" s="1"/>
      <c r="F21" s="1">
        <v>293.62</v>
      </c>
      <c r="G21" s="1">
        <v>304.83999999999997</v>
      </c>
      <c r="H21" s="1">
        <v>10735</v>
      </c>
      <c r="I21" s="1">
        <v>163.46</v>
      </c>
      <c r="J21" s="1">
        <f t="shared" si="0"/>
        <v>10571.54</v>
      </c>
      <c r="K21" s="1">
        <v>310.38</v>
      </c>
      <c r="L21" s="1">
        <f t="shared" si="1"/>
        <v>18.747800000000002</v>
      </c>
      <c r="M21" s="1">
        <v>9.3739000000000008</v>
      </c>
      <c r="N21" s="1">
        <v>310.92</v>
      </c>
      <c r="O21" s="1">
        <v>315.25</v>
      </c>
      <c r="P21" s="1">
        <v>310.38</v>
      </c>
    </row>
    <row r="22" spans="1:16">
      <c r="A22" s="1">
        <v>6.25</v>
      </c>
      <c r="B22" s="1">
        <v>0.15</v>
      </c>
      <c r="C22" s="1">
        <v>0.3</v>
      </c>
      <c r="D22" s="1">
        <v>1.0107999999999999</v>
      </c>
      <c r="E22" s="1"/>
      <c r="F22" s="1">
        <v>293.58</v>
      </c>
      <c r="G22" s="1">
        <v>304.01</v>
      </c>
      <c r="H22" s="1">
        <v>11986</v>
      </c>
      <c r="I22" s="1">
        <v>140.63</v>
      </c>
      <c r="J22" s="1">
        <f t="shared" si="0"/>
        <v>11845.37</v>
      </c>
      <c r="K22" s="1">
        <v>309.33</v>
      </c>
      <c r="L22" s="1">
        <f t="shared" si="1"/>
        <v>18.776</v>
      </c>
      <c r="M22" s="1">
        <v>9.3879999999999999</v>
      </c>
      <c r="N22" s="1">
        <v>309.86</v>
      </c>
      <c r="O22" s="1">
        <v>313.89999999999998</v>
      </c>
      <c r="P22" s="1">
        <v>309.33</v>
      </c>
    </row>
    <row r="23" spans="1:16">
      <c r="A23" s="1">
        <v>6.25</v>
      </c>
      <c r="B23" s="1">
        <v>0.15</v>
      </c>
      <c r="C23" s="1">
        <v>0.3</v>
      </c>
      <c r="D23" s="1">
        <v>1.0885</v>
      </c>
      <c r="E23" s="1"/>
      <c r="F23" s="1">
        <v>293.52999999999997</v>
      </c>
      <c r="G23" s="1">
        <v>303.18</v>
      </c>
      <c r="H23" s="1">
        <v>13293</v>
      </c>
      <c r="I23" s="1">
        <v>112.31</v>
      </c>
      <c r="J23" s="1">
        <f t="shared" si="0"/>
        <v>13180.69</v>
      </c>
      <c r="K23" s="1">
        <v>308.39999999999998</v>
      </c>
      <c r="L23" s="1">
        <f t="shared" si="1"/>
        <v>18.8154</v>
      </c>
      <c r="M23" s="1">
        <v>9.4077000000000002</v>
      </c>
      <c r="N23" s="1">
        <v>308.93</v>
      </c>
      <c r="O23" s="1">
        <v>312.69</v>
      </c>
      <c r="P23" s="1">
        <v>308.39999999999998</v>
      </c>
    </row>
    <row r="24" spans="1:16">
      <c r="A24" s="1">
        <v>6.25</v>
      </c>
      <c r="B24" s="1">
        <v>0.15</v>
      </c>
      <c r="C24" s="1">
        <v>0.3</v>
      </c>
      <c r="D24" s="1">
        <v>1.1662999999999999</v>
      </c>
      <c r="E24" s="1"/>
      <c r="F24" s="1">
        <v>293.5</v>
      </c>
      <c r="G24" s="1">
        <v>302.58</v>
      </c>
      <c r="H24" s="1">
        <v>14653</v>
      </c>
      <c r="I24" s="1">
        <v>77.667000000000002</v>
      </c>
      <c r="J24" s="1">
        <f t="shared" si="0"/>
        <v>14575.333000000001</v>
      </c>
      <c r="K24" s="1">
        <v>307.61</v>
      </c>
      <c r="L24" s="1">
        <f t="shared" si="1"/>
        <v>18.836200000000002</v>
      </c>
      <c r="M24" s="1">
        <v>9.4181000000000008</v>
      </c>
      <c r="N24" s="1">
        <v>308.13</v>
      </c>
      <c r="O24" s="1">
        <v>311.69</v>
      </c>
      <c r="P24" s="1">
        <v>307.61</v>
      </c>
    </row>
    <row r="25" spans="1:16">
      <c r="A25" s="1">
        <v>6.25</v>
      </c>
      <c r="B25" s="1">
        <v>0.15</v>
      </c>
      <c r="C25" s="1">
        <v>0.3</v>
      </c>
      <c r="D25" s="1">
        <v>1.244</v>
      </c>
      <c r="E25" s="1"/>
      <c r="F25" s="1">
        <v>293.47000000000003</v>
      </c>
      <c r="G25" s="1">
        <v>302.05</v>
      </c>
      <c r="H25" s="1">
        <v>16064</v>
      </c>
      <c r="I25" s="1">
        <v>36.58</v>
      </c>
      <c r="J25" s="1">
        <f t="shared" si="0"/>
        <v>16027.42</v>
      </c>
      <c r="K25" s="1">
        <v>306.92</v>
      </c>
      <c r="L25" s="1">
        <f t="shared" si="1"/>
        <v>18.856999999999999</v>
      </c>
      <c r="M25" s="1">
        <v>9.4284999999999997</v>
      </c>
      <c r="N25" s="1">
        <v>307.44</v>
      </c>
      <c r="O25" s="1">
        <v>310.82</v>
      </c>
      <c r="P25" s="1">
        <v>306.92</v>
      </c>
    </row>
    <row r="26" spans="1:16">
      <c r="A26" s="1">
        <v>8.33</v>
      </c>
      <c r="B26" s="1">
        <v>0.15</v>
      </c>
      <c r="C26" s="1">
        <v>0.3</v>
      </c>
      <c r="D26" s="1">
        <v>0.38879999999999998</v>
      </c>
      <c r="E26" s="1"/>
      <c r="F26" s="1">
        <v>294.77</v>
      </c>
      <c r="G26" s="1">
        <v>321.27</v>
      </c>
      <c r="H26" s="1">
        <v>3286.9</v>
      </c>
      <c r="I26" s="1">
        <v>171.61</v>
      </c>
      <c r="J26" s="1">
        <f t="shared" si="0"/>
        <v>3115.29</v>
      </c>
      <c r="K26" s="1">
        <v>329.35</v>
      </c>
      <c r="L26" s="1">
        <f t="shared" si="1"/>
        <v>18.139800000000001</v>
      </c>
      <c r="M26" s="1">
        <v>9.0699000000000005</v>
      </c>
      <c r="N26" s="1">
        <v>330.1</v>
      </c>
      <c r="O26" s="1">
        <v>340.54</v>
      </c>
      <c r="P26" s="1">
        <v>329.35</v>
      </c>
    </row>
    <row r="27" spans="1:16">
      <c r="A27" s="1">
        <v>8.33</v>
      </c>
      <c r="B27" s="1">
        <v>0.15</v>
      </c>
      <c r="C27" s="1">
        <v>0.3</v>
      </c>
      <c r="D27" s="1">
        <v>0.46650000000000003</v>
      </c>
      <c r="E27" s="1"/>
      <c r="F27" s="1">
        <v>294.41000000000003</v>
      </c>
      <c r="G27" s="1">
        <v>316.5</v>
      </c>
      <c r="H27" s="1">
        <v>4094.1</v>
      </c>
      <c r="I27" s="1">
        <v>188.84</v>
      </c>
      <c r="J27" s="1">
        <f t="shared" si="0"/>
        <v>3905.2599999999998</v>
      </c>
      <c r="K27" s="1">
        <v>324.82</v>
      </c>
      <c r="L27" s="1">
        <f t="shared" si="1"/>
        <v>18.2316</v>
      </c>
      <c r="M27" s="1">
        <v>9.1158000000000001</v>
      </c>
      <c r="N27" s="1">
        <v>325.52999999999997</v>
      </c>
      <c r="O27" s="1">
        <v>334.2</v>
      </c>
      <c r="P27" s="1">
        <v>324.82</v>
      </c>
    </row>
    <row r="28" spans="1:16">
      <c r="A28" s="1">
        <v>8.33</v>
      </c>
      <c r="B28" s="1">
        <v>0.15</v>
      </c>
      <c r="C28" s="1">
        <v>0.3</v>
      </c>
      <c r="D28" s="1">
        <v>0.54430000000000001</v>
      </c>
      <c r="E28" s="1"/>
      <c r="F28" s="1">
        <v>294.18</v>
      </c>
      <c r="G28" s="1">
        <v>313.07</v>
      </c>
      <c r="H28" s="1">
        <v>4944.3</v>
      </c>
      <c r="I28" s="1">
        <v>202.39</v>
      </c>
      <c r="J28" s="1">
        <f t="shared" si="0"/>
        <v>4741.91</v>
      </c>
      <c r="K28" s="1">
        <v>321.42</v>
      </c>
      <c r="L28" s="1">
        <f t="shared" si="1"/>
        <v>18.3094</v>
      </c>
      <c r="M28" s="1">
        <v>9.1547000000000001</v>
      </c>
      <c r="N28" s="1">
        <v>322.10000000000002</v>
      </c>
      <c r="O28" s="1">
        <v>329.58</v>
      </c>
      <c r="P28" s="1">
        <v>321.42</v>
      </c>
    </row>
    <row r="29" spans="1:16">
      <c r="A29" s="1">
        <v>8.33</v>
      </c>
      <c r="B29" s="1">
        <v>0.15</v>
      </c>
      <c r="C29" s="1">
        <v>0.3</v>
      </c>
      <c r="D29" s="1">
        <v>0.622</v>
      </c>
      <c r="E29" s="1"/>
      <c r="F29" s="1">
        <v>294.01</v>
      </c>
      <c r="G29" s="1">
        <v>310.49</v>
      </c>
      <c r="H29" s="1">
        <v>5833.6</v>
      </c>
      <c r="I29" s="1">
        <v>212.37</v>
      </c>
      <c r="J29" s="1">
        <f t="shared" si="0"/>
        <v>5621.2300000000005</v>
      </c>
      <c r="K29" s="1">
        <v>318.76</v>
      </c>
      <c r="L29" s="1">
        <f t="shared" si="1"/>
        <v>18.379799999999999</v>
      </c>
      <c r="M29" s="1">
        <v>9.1898999999999997</v>
      </c>
      <c r="N29" s="1">
        <v>319.42</v>
      </c>
      <c r="O29" s="1">
        <v>326.02</v>
      </c>
      <c r="P29" s="1">
        <v>318.76</v>
      </c>
    </row>
    <row r="30" spans="1:16">
      <c r="A30" s="1">
        <v>8.33</v>
      </c>
      <c r="B30" s="1">
        <v>0.15</v>
      </c>
      <c r="C30" s="1">
        <v>0.3</v>
      </c>
      <c r="D30" s="1">
        <v>0.69979999999999998</v>
      </c>
      <c r="E30" s="1"/>
      <c r="F30" s="1">
        <v>293.88</v>
      </c>
      <c r="G30" s="1">
        <v>308.45999999999998</v>
      </c>
      <c r="H30" s="1">
        <v>6763.6</v>
      </c>
      <c r="I30" s="1">
        <v>218.86</v>
      </c>
      <c r="J30" s="1">
        <f t="shared" si="0"/>
        <v>6544.7400000000007</v>
      </c>
      <c r="K30" s="1">
        <v>316.61</v>
      </c>
      <c r="L30" s="1">
        <f t="shared" si="1"/>
        <v>18.445399999999999</v>
      </c>
      <c r="M30" s="1">
        <v>9.2226999999999997</v>
      </c>
      <c r="N30" s="1">
        <v>317.25</v>
      </c>
      <c r="O30" s="1">
        <v>323.16000000000003</v>
      </c>
      <c r="P30" s="1">
        <v>316.61</v>
      </c>
    </row>
    <row r="31" spans="1:16">
      <c r="A31" s="1">
        <v>8.33</v>
      </c>
      <c r="B31" s="1">
        <v>0.15</v>
      </c>
      <c r="C31" s="1">
        <v>0.3</v>
      </c>
      <c r="D31" s="1">
        <v>0.77749999999999997</v>
      </c>
      <c r="E31" s="1"/>
      <c r="F31" s="1">
        <v>293.77999999999997</v>
      </c>
      <c r="G31" s="1">
        <v>307.14</v>
      </c>
      <c r="H31" s="1">
        <v>7729.5</v>
      </c>
      <c r="I31" s="1">
        <v>221.15</v>
      </c>
      <c r="J31" s="1">
        <f t="shared" si="0"/>
        <v>7508.35</v>
      </c>
      <c r="K31" s="1">
        <v>314.91000000000003</v>
      </c>
      <c r="L31" s="1">
        <f t="shared" si="1"/>
        <v>18.5136</v>
      </c>
      <c r="M31" s="1">
        <v>9.2568000000000001</v>
      </c>
      <c r="N31" s="1">
        <v>315.55</v>
      </c>
      <c r="O31" s="1">
        <v>320.99</v>
      </c>
      <c r="P31" s="1">
        <v>314.91000000000003</v>
      </c>
    </row>
    <row r="32" spans="1:16">
      <c r="A32" s="1">
        <v>8.33</v>
      </c>
      <c r="B32" s="1">
        <v>0.15</v>
      </c>
      <c r="C32" s="1">
        <v>0.3</v>
      </c>
      <c r="D32" s="1">
        <v>0.85529999999999995</v>
      </c>
      <c r="E32" s="1"/>
      <c r="F32" s="1">
        <v>293.70999999999998</v>
      </c>
      <c r="G32" s="1">
        <v>305.81</v>
      </c>
      <c r="H32" s="1">
        <v>8737.7000000000007</v>
      </c>
      <c r="I32" s="1">
        <v>220.03</v>
      </c>
      <c r="J32" s="1">
        <f t="shared" si="0"/>
        <v>8517.67</v>
      </c>
      <c r="K32" s="1">
        <v>313.39999999999998</v>
      </c>
      <c r="L32" s="1">
        <f t="shared" si="1"/>
        <v>18.568200000000001</v>
      </c>
      <c r="M32" s="1">
        <v>9.2841000000000005</v>
      </c>
      <c r="N32" s="1">
        <v>314.02</v>
      </c>
      <c r="O32" s="1">
        <v>319</v>
      </c>
      <c r="P32" s="1">
        <v>313.39999999999998</v>
      </c>
    </row>
    <row r="33" spans="1:16">
      <c r="A33" s="1">
        <v>8.33</v>
      </c>
      <c r="B33" s="1">
        <v>0.15</v>
      </c>
      <c r="C33" s="1">
        <v>0.3</v>
      </c>
      <c r="D33" s="1">
        <v>0.93300000000000005</v>
      </c>
      <c r="E33" s="1"/>
      <c r="F33" s="1">
        <v>293.64999999999998</v>
      </c>
      <c r="G33" s="1">
        <v>304.89</v>
      </c>
      <c r="H33" s="1">
        <v>9783</v>
      </c>
      <c r="I33" s="1">
        <v>214.36</v>
      </c>
      <c r="J33" s="1">
        <f t="shared" si="0"/>
        <v>9568.64</v>
      </c>
      <c r="K33" s="1">
        <v>312.14</v>
      </c>
      <c r="L33" s="1">
        <f t="shared" si="1"/>
        <v>18.625599999999999</v>
      </c>
      <c r="M33" s="1">
        <v>9.3127999999999993</v>
      </c>
      <c r="N33" s="1">
        <v>312.76</v>
      </c>
      <c r="O33" s="1">
        <v>317.39</v>
      </c>
      <c r="P33" s="1">
        <v>312.14</v>
      </c>
    </row>
    <row r="34" spans="1:16">
      <c r="A34" s="1">
        <v>8.33</v>
      </c>
      <c r="B34" s="1">
        <v>0.15</v>
      </c>
      <c r="C34" s="1">
        <v>0.3</v>
      </c>
      <c r="D34" s="1">
        <v>1.0107999999999999</v>
      </c>
      <c r="E34" s="1"/>
      <c r="F34" s="1">
        <v>293.60000000000002</v>
      </c>
      <c r="G34" s="1">
        <v>303.95999999999998</v>
      </c>
      <c r="H34" s="1">
        <v>10872</v>
      </c>
      <c r="I34" s="1">
        <v>205.09</v>
      </c>
      <c r="J34" s="1">
        <f t="shared" si="0"/>
        <v>10666.91</v>
      </c>
      <c r="K34" s="1">
        <v>311.01</v>
      </c>
      <c r="L34" s="1">
        <f t="shared" si="1"/>
        <v>18.672000000000001</v>
      </c>
      <c r="M34" s="1">
        <v>9.3360000000000003</v>
      </c>
      <c r="N34" s="1">
        <v>311.62</v>
      </c>
      <c r="O34" s="1">
        <v>315.91000000000003</v>
      </c>
      <c r="P34" s="1">
        <v>311.01</v>
      </c>
    </row>
    <row r="35" spans="1:16">
      <c r="A35" s="1">
        <v>8.33</v>
      </c>
      <c r="B35" s="1">
        <v>0.15</v>
      </c>
      <c r="C35" s="1">
        <v>0.3</v>
      </c>
      <c r="D35" s="1">
        <v>1.0885</v>
      </c>
      <c r="E35" s="1"/>
      <c r="F35" s="1">
        <v>293.55</v>
      </c>
      <c r="G35" s="1">
        <v>303.41000000000003</v>
      </c>
      <c r="H35" s="1">
        <v>12000</v>
      </c>
      <c r="I35" s="1">
        <v>190.08</v>
      </c>
      <c r="J35" s="1">
        <f t="shared" si="0"/>
        <v>11809.92</v>
      </c>
      <c r="K35" s="1">
        <v>310.05</v>
      </c>
      <c r="L35" s="1">
        <f t="shared" si="1"/>
        <v>18.716200000000001</v>
      </c>
      <c r="M35" s="1">
        <v>9.3581000000000003</v>
      </c>
      <c r="N35" s="1">
        <v>310.66000000000003</v>
      </c>
      <c r="O35" s="1">
        <v>314.73</v>
      </c>
      <c r="P35" s="1">
        <v>310.05</v>
      </c>
    </row>
    <row r="36" spans="1:16">
      <c r="A36" s="1">
        <v>8.33</v>
      </c>
      <c r="B36" s="1">
        <v>0.15</v>
      </c>
      <c r="C36" s="1">
        <v>0.3</v>
      </c>
      <c r="D36" s="1">
        <v>1.1662999999999999</v>
      </c>
      <c r="E36" s="1"/>
      <c r="F36" s="1">
        <v>293.52</v>
      </c>
      <c r="G36" s="1">
        <v>302.70999999999998</v>
      </c>
      <c r="H36" s="1">
        <v>13176</v>
      </c>
      <c r="I36" s="1">
        <v>172.11</v>
      </c>
      <c r="J36" s="1">
        <f t="shared" si="0"/>
        <v>13003.89</v>
      </c>
      <c r="K36" s="1">
        <v>309.14999999999998</v>
      </c>
      <c r="L36" s="1">
        <f t="shared" si="1"/>
        <v>18.744</v>
      </c>
      <c r="M36" s="1">
        <v>9.3719999999999999</v>
      </c>
      <c r="N36" s="1">
        <v>309.75</v>
      </c>
      <c r="O36" s="1">
        <v>313.56</v>
      </c>
      <c r="P36" s="1">
        <v>309.14999999999998</v>
      </c>
    </row>
    <row r="37" spans="1:16">
      <c r="A37" s="1">
        <v>8.33</v>
      </c>
      <c r="B37" s="1">
        <v>0.15</v>
      </c>
      <c r="C37" s="1">
        <v>0.3</v>
      </c>
      <c r="D37" s="1">
        <v>1.244</v>
      </c>
      <c r="E37" s="1"/>
      <c r="F37" s="1">
        <v>293.49</v>
      </c>
      <c r="G37" s="1">
        <v>302.05</v>
      </c>
      <c r="H37" s="1">
        <v>14393</v>
      </c>
      <c r="I37" s="1">
        <v>150.36000000000001</v>
      </c>
      <c r="J37" s="1">
        <f t="shared" si="0"/>
        <v>14242.64</v>
      </c>
      <c r="K37" s="1">
        <v>308.37</v>
      </c>
      <c r="L37" s="1">
        <f t="shared" si="1"/>
        <v>18.7834</v>
      </c>
      <c r="M37" s="1">
        <v>9.3917000000000002</v>
      </c>
      <c r="N37" s="1">
        <v>308.95999999999998</v>
      </c>
      <c r="O37" s="1">
        <v>312.54000000000002</v>
      </c>
      <c r="P37" s="1">
        <v>308.37</v>
      </c>
    </row>
    <row r="38" spans="1:16">
      <c r="A38" s="1">
        <v>5</v>
      </c>
      <c r="B38" s="1">
        <v>0.15</v>
      </c>
      <c r="C38" s="1">
        <v>0</v>
      </c>
      <c r="D38" s="1">
        <v>0.38879999999999998</v>
      </c>
      <c r="E38" s="1">
        <v>250</v>
      </c>
      <c r="F38" s="1">
        <v>295.42</v>
      </c>
      <c r="G38" s="1">
        <v>321.2</v>
      </c>
      <c r="H38" s="1">
        <v>2670.7</v>
      </c>
      <c r="I38" s="1">
        <v>149.66</v>
      </c>
      <c r="J38" s="1">
        <f>H38-I38</f>
        <v>2521.04</v>
      </c>
      <c r="K38" s="1">
        <v>341.89</v>
      </c>
      <c r="L38" s="1">
        <f>M38*2</f>
        <v>17.405200000000001</v>
      </c>
      <c r="M38" s="1">
        <v>8.7026000000000003</v>
      </c>
      <c r="N38" s="1">
        <v>342.27</v>
      </c>
      <c r="O38" s="1">
        <v>353.33</v>
      </c>
      <c r="P38" s="1">
        <v>341.89</v>
      </c>
    </row>
    <row r="39" spans="1:16">
      <c r="A39" s="1">
        <v>5</v>
      </c>
      <c r="B39" s="1">
        <v>0.15</v>
      </c>
      <c r="C39" s="1">
        <v>0</v>
      </c>
      <c r="D39" s="1">
        <v>0.46650000000000003</v>
      </c>
      <c r="E39" s="1">
        <v>300</v>
      </c>
      <c r="F39" s="1">
        <v>294.91000000000003</v>
      </c>
      <c r="G39" s="1">
        <v>316.41000000000003</v>
      </c>
      <c r="H39" s="1">
        <v>3304.1</v>
      </c>
      <c r="I39" s="1">
        <v>152.62</v>
      </c>
      <c r="J39" s="1">
        <f>H39-I39</f>
        <v>3151.48</v>
      </c>
      <c r="K39" s="1">
        <v>335.54</v>
      </c>
      <c r="L39" s="1">
        <f>M39*2</f>
        <v>17.572800000000001</v>
      </c>
      <c r="M39" s="1">
        <v>8.7864000000000004</v>
      </c>
      <c r="N39" s="1">
        <v>335.92</v>
      </c>
      <c r="O39" s="1">
        <v>345.29</v>
      </c>
      <c r="P39" s="1">
        <v>335.54</v>
      </c>
    </row>
    <row r="40" spans="1:16">
      <c r="A40" s="1">
        <v>5</v>
      </c>
      <c r="B40" s="1">
        <v>0.15</v>
      </c>
      <c r="C40" s="1">
        <v>0</v>
      </c>
      <c r="D40" s="1">
        <v>0.54430000000000001</v>
      </c>
      <c r="E40" s="1">
        <v>350</v>
      </c>
      <c r="F40" s="1">
        <v>294.56</v>
      </c>
      <c r="G40" s="1">
        <v>312.89999999999998</v>
      </c>
      <c r="H40" s="1">
        <v>3974.3</v>
      </c>
      <c r="I40" s="1">
        <v>148.41</v>
      </c>
      <c r="J40" s="1">
        <f t="shared" ref="J40:J49" si="2">H40-I40</f>
        <v>3825.8900000000003</v>
      </c>
      <c r="K40" s="1">
        <v>330.56</v>
      </c>
      <c r="L40" s="1">
        <f t="shared" ref="L40:L49" si="3">M40*2</f>
        <v>17.721599999999999</v>
      </c>
      <c r="M40" s="1">
        <v>8.8607999999999993</v>
      </c>
      <c r="N40" s="1">
        <v>330.93</v>
      </c>
      <c r="O40" s="1">
        <v>339.01</v>
      </c>
      <c r="P40" s="1">
        <v>330.56</v>
      </c>
    </row>
    <row r="41" spans="1:16">
      <c r="A41" s="1">
        <v>5</v>
      </c>
      <c r="B41" s="1">
        <v>0.15</v>
      </c>
      <c r="C41" s="1">
        <v>0</v>
      </c>
      <c r="D41" s="1">
        <v>0.622</v>
      </c>
      <c r="E41" s="1">
        <v>400</v>
      </c>
      <c r="F41" s="1">
        <v>294.31</v>
      </c>
      <c r="G41" s="1">
        <v>310.58999999999997</v>
      </c>
      <c r="H41" s="1">
        <v>4683.5</v>
      </c>
      <c r="I41" s="1">
        <v>138.06</v>
      </c>
      <c r="J41" s="1">
        <f t="shared" si="2"/>
        <v>4545.4399999999996</v>
      </c>
      <c r="K41" s="1">
        <v>326.61</v>
      </c>
      <c r="L41" s="1">
        <f t="shared" si="3"/>
        <v>17.848600000000001</v>
      </c>
      <c r="M41" s="1">
        <v>8.9243000000000006</v>
      </c>
      <c r="N41" s="1">
        <v>326.97000000000003</v>
      </c>
      <c r="O41" s="1">
        <v>334.05</v>
      </c>
      <c r="P41" s="1">
        <v>326.61</v>
      </c>
    </row>
    <row r="42" spans="1:16">
      <c r="A42" s="1">
        <v>5</v>
      </c>
      <c r="B42" s="1">
        <v>0.15</v>
      </c>
      <c r="C42" s="1">
        <v>0</v>
      </c>
      <c r="D42" s="1">
        <v>0.69979999999999998</v>
      </c>
      <c r="E42" s="1">
        <v>450</v>
      </c>
      <c r="F42" s="1">
        <v>294.12</v>
      </c>
      <c r="G42" s="1">
        <v>308.89</v>
      </c>
      <c r="H42" s="1">
        <v>5437.5</v>
      </c>
      <c r="I42" s="1">
        <v>122.69</v>
      </c>
      <c r="J42" s="1">
        <f t="shared" si="2"/>
        <v>5314.81</v>
      </c>
      <c r="K42" s="1">
        <v>323.39</v>
      </c>
      <c r="L42" s="1">
        <f t="shared" si="3"/>
        <v>17.967600000000001</v>
      </c>
      <c r="M42" s="1">
        <v>8.9838000000000005</v>
      </c>
      <c r="N42" s="1">
        <v>323.75</v>
      </c>
      <c r="O42" s="1">
        <v>330</v>
      </c>
      <c r="P42" s="1">
        <v>323.39</v>
      </c>
    </row>
    <row r="43" spans="1:16">
      <c r="A43" s="1">
        <v>5</v>
      </c>
      <c r="B43" s="1">
        <v>0.15</v>
      </c>
      <c r="C43" s="1">
        <v>0</v>
      </c>
      <c r="D43" s="1">
        <v>0.77749999999999997</v>
      </c>
      <c r="E43" s="1">
        <v>500</v>
      </c>
      <c r="F43" s="1">
        <v>293.98</v>
      </c>
      <c r="G43" s="1">
        <v>307.33</v>
      </c>
      <c r="H43" s="1">
        <v>6238.5</v>
      </c>
      <c r="I43" s="1">
        <v>103.49</v>
      </c>
      <c r="J43" s="1">
        <f t="shared" si="2"/>
        <v>6135.01</v>
      </c>
      <c r="K43" s="1">
        <v>320.75</v>
      </c>
      <c r="L43" s="1">
        <f t="shared" si="3"/>
        <v>18.086600000000001</v>
      </c>
      <c r="M43" s="1">
        <v>9.0433000000000003</v>
      </c>
      <c r="N43" s="1">
        <v>321.10000000000002</v>
      </c>
      <c r="O43" s="1">
        <v>326.68</v>
      </c>
      <c r="P43" s="1">
        <v>320.75</v>
      </c>
    </row>
    <row r="44" spans="1:16">
      <c r="A44" s="1">
        <v>5</v>
      </c>
      <c r="B44" s="1">
        <v>0.15</v>
      </c>
      <c r="C44" s="1">
        <v>0</v>
      </c>
      <c r="D44" s="1">
        <v>0.85529999999999995</v>
      </c>
      <c r="E44" s="1">
        <v>550</v>
      </c>
      <c r="F44" s="1">
        <v>293.87</v>
      </c>
      <c r="G44" s="1">
        <v>306.06</v>
      </c>
      <c r="H44" s="1">
        <v>7092</v>
      </c>
      <c r="I44" s="1">
        <v>81.063999999999993</v>
      </c>
      <c r="J44" s="1">
        <f t="shared" si="2"/>
        <v>7010.9359999999997</v>
      </c>
      <c r="K44" s="1">
        <v>318.42</v>
      </c>
      <c r="L44" s="1">
        <f t="shared" si="3"/>
        <v>18.174600000000002</v>
      </c>
      <c r="M44" s="1">
        <v>9.0873000000000008</v>
      </c>
      <c r="N44" s="1">
        <v>318.77</v>
      </c>
      <c r="O44" s="1">
        <v>323.72000000000003</v>
      </c>
      <c r="P44" s="1">
        <v>318.42</v>
      </c>
    </row>
    <row r="45" spans="1:16">
      <c r="A45" s="1">
        <v>5</v>
      </c>
      <c r="B45" s="1">
        <v>0.15</v>
      </c>
      <c r="C45" s="1">
        <v>0</v>
      </c>
      <c r="D45" s="1">
        <v>0.93300000000000005</v>
      </c>
      <c r="E45" s="1">
        <v>600</v>
      </c>
      <c r="F45" s="1">
        <v>293.77999999999997</v>
      </c>
      <c r="G45" s="1">
        <v>304.97000000000003</v>
      </c>
      <c r="H45" s="1">
        <v>8000.7</v>
      </c>
      <c r="I45" s="1">
        <v>56.860999999999997</v>
      </c>
      <c r="J45" s="1">
        <f t="shared" si="2"/>
        <v>7943.8389999999999</v>
      </c>
      <c r="K45" s="1">
        <v>316.5</v>
      </c>
      <c r="L45" s="1">
        <f t="shared" si="3"/>
        <v>18.263999999999999</v>
      </c>
      <c r="M45" s="1">
        <v>9.1319999999999997</v>
      </c>
      <c r="N45" s="1">
        <v>316.85000000000002</v>
      </c>
      <c r="O45" s="1">
        <v>321.33</v>
      </c>
      <c r="P45" s="1">
        <v>316.5</v>
      </c>
    </row>
    <row r="46" spans="1:16">
      <c r="A46" s="1">
        <v>5</v>
      </c>
      <c r="B46" s="1">
        <v>0.15</v>
      </c>
      <c r="C46" s="1">
        <v>0</v>
      </c>
      <c r="D46" s="1">
        <v>1.0107999999999999</v>
      </c>
      <c r="E46" s="1">
        <v>650</v>
      </c>
      <c r="F46" s="1">
        <v>293.70999999999998</v>
      </c>
      <c r="G46" s="1">
        <v>304.08999999999997</v>
      </c>
      <c r="H46" s="1">
        <v>8974.5</v>
      </c>
      <c r="I46" s="1">
        <v>31.748999999999999</v>
      </c>
      <c r="J46" s="1">
        <f t="shared" si="2"/>
        <v>8942.7510000000002</v>
      </c>
      <c r="K46" s="1">
        <v>314.79000000000002</v>
      </c>
      <c r="L46" s="1">
        <f t="shared" si="3"/>
        <v>18.3432</v>
      </c>
      <c r="M46" s="1">
        <v>9.1715999999999998</v>
      </c>
      <c r="N46" s="1">
        <v>315.14</v>
      </c>
      <c r="O46" s="1">
        <v>319.14</v>
      </c>
      <c r="P46" s="1">
        <v>314.79000000000002</v>
      </c>
    </row>
    <row r="47" spans="1:16">
      <c r="A47" s="1">
        <v>5</v>
      </c>
      <c r="B47" s="1">
        <v>0.15</v>
      </c>
      <c r="C47" s="1">
        <v>0</v>
      </c>
      <c r="D47" s="1">
        <v>1.0885</v>
      </c>
      <c r="E47" s="1">
        <v>700</v>
      </c>
      <c r="F47" s="1">
        <v>293.64999999999998</v>
      </c>
      <c r="G47" s="1">
        <v>303.29000000000002</v>
      </c>
      <c r="H47" s="1">
        <v>10075</v>
      </c>
      <c r="I47" s="1">
        <v>14.03</v>
      </c>
      <c r="J47" s="1">
        <f t="shared" si="2"/>
        <v>10060.969999999999</v>
      </c>
      <c r="K47" s="1">
        <v>313.16000000000003</v>
      </c>
      <c r="L47" s="1">
        <f t="shared" si="3"/>
        <v>18.4282</v>
      </c>
      <c r="M47" s="1">
        <v>9.2141000000000002</v>
      </c>
      <c r="N47" s="1">
        <v>313.5</v>
      </c>
      <c r="O47" s="1">
        <v>317.02</v>
      </c>
      <c r="P47" s="1">
        <v>313.16000000000003</v>
      </c>
    </row>
    <row r="48" spans="1:16">
      <c r="A48" s="1">
        <v>5</v>
      </c>
      <c r="B48" s="1">
        <v>0.15</v>
      </c>
      <c r="C48" s="1">
        <v>0</v>
      </c>
      <c r="D48" s="1">
        <v>1.1662999999999999</v>
      </c>
      <c r="E48" s="1">
        <v>750</v>
      </c>
      <c r="F48" s="1">
        <v>293.60000000000002</v>
      </c>
      <c r="G48" s="1">
        <v>302.70999999999998</v>
      </c>
      <c r="H48" s="1">
        <v>11286</v>
      </c>
      <c r="I48" s="1">
        <v>-5.5545999999999998</v>
      </c>
      <c r="J48" s="1">
        <f t="shared" si="2"/>
        <v>11291.554599999999</v>
      </c>
      <c r="K48" s="1">
        <v>311.70999999999998</v>
      </c>
      <c r="L48" s="1">
        <f t="shared" si="3"/>
        <v>18.505400000000002</v>
      </c>
      <c r="M48" s="1">
        <v>9.2527000000000008</v>
      </c>
      <c r="N48" s="1">
        <v>312.05</v>
      </c>
      <c r="O48" s="1">
        <v>315.25</v>
      </c>
      <c r="P48" s="1">
        <v>311.70999999999998</v>
      </c>
    </row>
    <row r="49" spans="1:16">
      <c r="A49" s="1">
        <v>5</v>
      </c>
      <c r="B49" s="1">
        <v>0.15</v>
      </c>
      <c r="C49" s="1">
        <v>0</v>
      </c>
      <c r="D49" s="1">
        <v>1.244</v>
      </c>
      <c r="E49" s="1">
        <v>800</v>
      </c>
      <c r="F49" s="1">
        <v>293.56</v>
      </c>
      <c r="G49" s="1">
        <v>302.05</v>
      </c>
      <c r="H49" s="1">
        <v>12573</v>
      </c>
      <c r="I49" s="1">
        <v>-29.8</v>
      </c>
      <c r="J49" s="1">
        <f t="shared" si="2"/>
        <v>12602.8</v>
      </c>
      <c r="K49" s="1">
        <v>310.45999999999998</v>
      </c>
      <c r="L49" s="1">
        <f t="shared" si="3"/>
        <v>18.570399999999999</v>
      </c>
      <c r="M49" s="1">
        <v>9.2851999999999997</v>
      </c>
      <c r="N49" s="1">
        <v>310.79000000000002</v>
      </c>
      <c r="O49" s="1">
        <v>313.75</v>
      </c>
      <c r="P49" s="1">
        <v>310.45999999999998</v>
      </c>
    </row>
    <row r="50" spans="1:16">
      <c r="A50" s="1">
        <v>5</v>
      </c>
      <c r="B50" s="1">
        <v>0.15</v>
      </c>
      <c r="C50" s="1">
        <v>0.15</v>
      </c>
      <c r="D50" s="1">
        <v>0.38879999999999998</v>
      </c>
      <c r="E50" s="1">
        <v>250</v>
      </c>
      <c r="F50" s="1">
        <v>295.10000000000002</v>
      </c>
      <c r="G50" s="1">
        <v>321.2</v>
      </c>
      <c r="H50" s="1">
        <v>2975.4</v>
      </c>
      <c r="I50" s="1">
        <v>151.36000000000001</v>
      </c>
      <c r="J50" s="1">
        <f t="shared" ref="J50:J61" si="4">H50-I50</f>
        <v>2824.04</v>
      </c>
      <c r="K50" s="1">
        <v>334.64</v>
      </c>
      <c r="L50" s="1">
        <f t="shared" ref="L50:L61" si="5">M50*2</f>
        <v>17.799399999999999</v>
      </c>
      <c r="M50" s="1">
        <v>8.8996999999999993</v>
      </c>
      <c r="N50" s="1">
        <v>335.1</v>
      </c>
      <c r="O50" s="1">
        <v>344.82</v>
      </c>
      <c r="P50" s="1">
        <v>334.64</v>
      </c>
    </row>
    <row r="51" spans="1:16">
      <c r="A51" s="1">
        <v>5</v>
      </c>
      <c r="B51" s="1">
        <v>0.15</v>
      </c>
      <c r="C51" s="1">
        <v>0.15</v>
      </c>
      <c r="D51" s="1">
        <v>0.46650000000000003</v>
      </c>
      <c r="E51" s="1">
        <v>300</v>
      </c>
      <c r="F51" s="1">
        <v>294.64999999999998</v>
      </c>
      <c r="G51" s="1">
        <v>316.41000000000003</v>
      </c>
      <c r="H51" s="1">
        <v>3714.8</v>
      </c>
      <c r="I51" s="1">
        <v>156.38999999999999</v>
      </c>
      <c r="J51" s="1">
        <f t="shared" si="4"/>
        <v>3558.4100000000003</v>
      </c>
      <c r="K51" s="1">
        <v>328.44</v>
      </c>
      <c r="L51" s="1">
        <f t="shared" si="5"/>
        <v>17.950600000000001</v>
      </c>
      <c r="M51" s="1">
        <v>8.9753000000000007</v>
      </c>
      <c r="N51" s="1">
        <v>328.88</v>
      </c>
      <c r="O51" s="1">
        <v>336.67</v>
      </c>
      <c r="P51" s="1">
        <v>328.44</v>
      </c>
    </row>
    <row r="52" spans="1:16">
      <c r="A52" s="1">
        <v>5</v>
      </c>
      <c r="B52" s="1">
        <v>0.15</v>
      </c>
      <c r="C52" s="1">
        <v>0.15</v>
      </c>
      <c r="D52" s="1">
        <v>0.54430000000000001</v>
      </c>
      <c r="E52" s="1">
        <v>350</v>
      </c>
      <c r="F52" s="1">
        <v>294.35000000000002</v>
      </c>
      <c r="G52" s="1">
        <v>312.89999999999998</v>
      </c>
      <c r="H52" s="1">
        <v>4511.2</v>
      </c>
      <c r="I52" s="1">
        <v>155.55000000000001</v>
      </c>
      <c r="J52" s="1">
        <f t="shared" si="4"/>
        <v>4355.6499999999996</v>
      </c>
      <c r="K52" s="1">
        <v>323.7</v>
      </c>
      <c r="L52" s="1">
        <f t="shared" si="5"/>
        <v>18.0838</v>
      </c>
      <c r="M52" s="1">
        <v>9.0419</v>
      </c>
      <c r="N52" s="1">
        <v>324.12</v>
      </c>
      <c r="O52" s="1">
        <v>330.52</v>
      </c>
      <c r="P52" s="1">
        <v>323.7</v>
      </c>
    </row>
    <row r="53" spans="1:16">
      <c r="A53" s="1">
        <v>5</v>
      </c>
      <c r="B53" s="1">
        <v>0.15</v>
      </c>
      <c r="C53" s="1">
        <v>0.15</v>
      </c>
      <c r="D53" s="1">
        <v>0.622</v>
      </c>
      <c r="E53" s="1">
        <v>400</v>
      </c>
      <c r="F53" s="1">
        <v>294.14</v>
      </c>
      <c r="G53" s="1">
        <v>310.58999999999997</v>
      </c>
      <c r="H53" s="1">
        <v>5367</v>
      </c>
      <c r="I53" s="1">
        <v>150.44</v>
      </c>
      <c r="J53" s="1">
        <f t="shared" si="4"/>
        <v>5216.5600000000004</v>
      </c>
      <c r="K53" s="1">
        <v>320.16000000000003</v>
      </c>
      <c r="L53" s="1">
        <f t="shared" si="5"/>
        <v>18.202400000000001</v>
      </c>
      <c r="M53" s="1">
        <v>9.1012000000000004</v>
      </c>
      <c r="N53" s="1">
        <v>320.57</v>
      </c>
      <c r="O53" s="1">
        <v>326.08999999999997</v>
      </c>
      <c r="P53" s="1">
        <v>320.16000000000003</v>
      </c>
    </row>
    <row r="54" spans="1:16">
      <c r="A54" s="1">
        <v>5</v>
      </c>
      <c r="B54" s="1">
        <v>0.15</v>
      </c>
      <c r="C54" s="1">
        <v>0.15</v>
      </c>
      <c r="D54" s="1">
        <v>0.69979999999999998</v>
      </c>
      <c r="E54" s="1">
        <v>450</v>
      </c>
      <c r="F54" s="1">
        <v>293.98</v>
      </c>
      <c r="G54" s="1">
        <v>308.89</v>
      </c>
      <c r="H54" s="1">
        <v>6288.3</v>
      </c>
      <c r="I54" s="1">
        <v>143.11000000000001</v>
      </c>
      <c r="J54" s="1">
        <f t="shared" si="4"/>
        <v>6145.1900000000005</v>
      </c>
      <c r="K54" s="1">
        <v>317.44</v>
      </c>
      <c r="L54" s="1">
        <f t="shared" si="5"/>
        <v>18.298999999999999</v>
      </c>
      <c r="M54" s="1">
        <v>9.1494999999999997</v>
      </c>
      <c r="N54" s="1">
        <v>317.85000000000002</v>
      </c>
      <c r="O54" s="1">
        <v>322.79000000000002</v>
      </c>
      <c r="P54" s="1">
        <v>317.44</v>
      </c>
    </row>
    <row r="55" spans="1:16">
      <c r="A55" s="1">
        <v>5</v>
      </c>
      <c r="B55" s="1">
        <v>0.15</v>
      </c>
      <c r="C55" s="1">
        <v>0.15</v>
      </c>
      <c r="D55" s="1">
        <v>0.77749999999999997</v>
      </c>
      <c r="E55" s="1">
        <v>500</v>
      </c>
      <c r="F55" s="1">
        <v>293.86</v>
      </c>
      <c r="G55" s="1">
        <v>307.33</v>
      </c>
      <c r="H55" s="1">
        <v>7272.7</v>
      </c>
      <c r="I55" s="1">
        <v>134.47999999999999</v>
      </c>
      <c r="J55" s="1">
        <f t="shared" si="4"/>
        <v>7138.22</v>
      </c>
      <c r="K55" s="1">
        <v>315.26</v>
      </c>
      <c r="L55" s="1">
        <f t="shared" si="5"/>
        <v>18.367000000000001</v>
      </c>
      <c r="M55" s="1">
        <v>9.1835000000000004</v>
      </c>
      <c r="N55" s="1">
        <v>315.66000000000003</v>
      </c>
      <c r="O55" s="1">
        <v>320.12</v>
      </c>
      <c r="P55" s="1">
        <v>315.26</v>
      </c>
    </row>
    <row r="56" spans="1:16">
      <c r="A56" s="1">
        <v>5</v>
      </c>
      <c r="B56" s="1">
        <v>0.15</v>
      </c>
      <c r="C56" s="1">
        <v>0.15</v>
      </c>
      <c r="D56" s="1">
        <v>0.85529999999999995</v>
      </c>
      <c r="E56" s="1">
        <v>550</v>
      </c>
      <c r="F56" s="1">
        <v>293.77</v>
      </c>
      <c r="G56" s="1">
        <v>306.06</v>
      </c>
      <c r="H56" s="1">
        <v>8317.9</v>
      </c>
      <c r="I56" s="1">
        <v>124.36</v>
      </c>
      <c r="J56" s="1">
        <f t="shared" si="4"/>
        <v>8193.5399999999991</v>
      </c>
      <c r="K56" s="1">
        <v>313.52</v>
      </c>
      <c r="L56" s="1">
        <f t="shared" si="5"/>
        <v>18.418600000000001</v>
      </c>
      <c r="M56" s="1">
        <v>9.2093000000000007</v>
      </c>
      <c r="N56" s="1">
        <v>313.92</v>
      </c>
      <c r="O56" s="1">
        <v>318.05</v>
      </c>
      <c r="P56" s="1">
        <v>313.52</v>
      </c>
    </row>
    <row r="57" spans="1:16">
      <c r="A57" s="1">
        <v>5</v>
      </c>
      <c r="B57" s="1">
        <v>0.15</v>
      </c>
      <c r="C57" s="1">
        <v>0.15</v>
      </c>
      <c r="D57" s="1">
        <v>0.93300000000000005</v>
      </c>
      <c r="E57" s="1">
        <v>600</v>
      </c>
      <c r="F57" s="1">
        <v>293.7</v>
      </c>
      <c r="G57" s="1">
        <v>304.97000000000003</v>
      </c>
      <c r="H57" s="1">
        <v>9413.9</v>
      </c>
      <c r="I57" s="1">
        <v>110.08</v>
      </c>
      <c r="J57" s="1">
        <f t="shared" si="4"/>
        <v>9303.82</v>
      </c>
      <c r="K57" s="1">
        <v>312.13</v>
      </c>
      <c r="L57" s="1">
        <f t="shared" si="5"/>
        <v>18.458200000000001</v>
      </c>
      <c r="M57" s="1">
        <v>9.2291000000000007</v>
      </c>
      <c r="N57" s="1">
        <v>312.52999999999997</v>
      </c>
      <c r="O57" s="1">
        <v>316.39</v>
      </c>
      <c r="P57" s="1">
        <v>312.13</v>
      </c>
    </row>
    <row r="58" spans="1:16">
      <c r="A58" s="1">
        <v>5</v>
      </c>
      <c r="B58" s="1">
        <v>0.15</v>
      </c>
      <c r="C58" s="1">
        <v>0.15</v>
      </c>
      <c r="D58" s="1">
        <v>1.0107999999999999</v>
      </c>
      <c r="E58" s="1">
        <v>650</v>
      </c>
      <c r="F58" s="1">
        <v>293.64</v>
      </c>
      <c r="G58" s="1">
        <v>304.08999999999997</v>
      </c>
      <c r="H58" s="1">
        <v>10556</v>
      </c>
      <c r="I58" s="1">
        <v>89.302999999999997</v>
      </c>
      <c r="J58" s="1">
        <f t="shared" si="4"/>
        <v>10466.697</v>
      </c>
      <c r="K58" s="1">
        <v>311</v>
      </c>
      <c r="L58" s="1">
        <f t="shared" si="5"/>
        <v>18.491</v>
      </c>
      <c r="M58" s="1">
        <v>9.2454999999999998</v>
      </c>
      <c r="N58" s="1">
        <v>311.39999999999998</v>
      </c>
      <c r="O58" s="1">
        <v>315.07</v>
      </c>
      <c r="P58" s="1">
        <v>311</v>
      </c>
    </row>
    <row r="59" spans="1:16">
      <c r="A59" s="1">
        <v>5</v>
      </c>
      <c r="B59" s="1">
        <v>0.15</v>
      </c>
      <c r="C59" s="1">
        <v>0.15</v>
      </c>
      <c r="D59" s="1">
        <v>1.0885</v>
      </c>
      <c r="E59" s="1">
        <v>700</v>
      </c>
      <c r="F59" s="1">
        <v>293.58999999999997</v>
      </c>
      <c r="G59" s="1">
        <v>303.29000000000002</v>
      </c>
      <c r="H59" s="1">
        <v>11735</v>
      </c>
      <c r="I59" s="1">
        <v>61.018999999999998</v>
      </c>
      <c r="J59" s="1">
        <f t="shared" si="4"/>
        <v>11673.981</v>
      </c>
      <c r="K59" s="1">
        <v>310.05</v>
      </c>
      <c r="L59" s="1">
        <f t="shared" si="5"/>
        <v>18.518799999999999</v>
      </c>
      <c r="M59" s="1">
        <v>9.2593999999999994</v>
      </c>
      <c r="N59" s="1">
        <v>310.45</v>
      </c>
      <c r="O59" s="1">
        <v>313.93</v>
      </c>
      <c r="P59" s="1">
        <v>310.05</v>
      </c>
    </row>
    <row r="60" spans="1:16">
      <c r="A60" s="1">
        <v>5</v>
      </c>
      <c r="B60" s="1">
        <v>0.15</v>
      </c>
      <c r="C60" s="1">
        <v>0.15</v>
      </c>
      <c r="D60" s="1">
        <v>1.1662999999999999</v>
      </c>
      <c r="E60" s="1">
        <v>750</v>
      </c>
      <c r="F60" s="1">
        <v>293.55</v>
      </c>
      <c r="G60" s="1">
        <v>302.70999999999998</v>
      </c>
      <c r="H60" s="1">
        <v>12958</v>
      </c>
      <c r="I60" s="1">
        <v>27.131</v>
      </c>
      <c r="J60" s="1">
        <f t="shared" si="4"/>
        <v>12930.869000000001</v>
      </c>
      <c r="K60" s="1">
        <v>309.27999999999997</v>
      </c>
      <c r="L60" s="1">
        <f t="shared" si="5"/>
        <v>18.548999999999999</v>
      </c>
      <c r="M60" s="1">
        <v>9.2744999999999997</v>
      </c>
      <c r="N60" s="1">
        <v>309.67</v>
      </c>
      <c r="O60" s="1">
        <v>313.05</v>
      </c>
      <c r="P60" s="1">
        <v>309.27999999999997</v>
      </c>
    </row>
    <row r="61" spans="1:16">
      <c r="A61" s="1">
        <v>5</v>
      </c>
      <c r="B61" s="1">
        <v>0.15</v>
      </c>
      <c r="C61" s="1">
        <v>0.15</v>
      </c>
      <c r="D61" s="1">
        <v>1.244</v>
      </c>
      <c r="E61" s="1">
        <v>800</v>
      </c>
      <c r="F61" s="1">
        <v>293.51</v>
      </c>
      <c r="G61" s="1">
        <v>302.05</v>
      </c>
      <c r="H61" s="1">
        <v>14227</v>
      </c>
      <c r="I61" s="1">
        <v>-12.509</v>
      </c>
      <c r="J61" s="1">
        <f t="shared" si="4"/>
        <v>14239.509</v>
      </c>
      <c r="K61" s="1">
        <v>308.55</v>
      </c>
      <c r="L61" s="1">
        <f t="shared" si="5"/>
        <v>18.5748</v>
      </c>
      <c r="M61" s="1">
        <v>9.2873999999999999</v>
      </c>
      <c r="N61" s="1">
        <v>308.94</v>
      </c>
      <c r="O61" s="1">
        <v>312.12</v>
      </c>
      <c r="P61" s="1">
        <v>308.55</v>
      </c>
    </row>
    <row r="62" spans="1:16">
      <c r="A62" s="1">
        <v>5</v>
      </c>
      <c r="B62" s="1">
        <v>0.15</v>
      </c>
      <c r="C62" s="1">
        <v>0.3</v>
      </c>
      <c r="D62" s="1">
        <v>0.38879999999999998</v>
      </c>
      <c r="E62" s="1">
        <v>250</v>
      </c>
      <c r="F62" s="1">
        <v>294.62</v>
      </c>
      <c r="G62" s="1">
        <v>321.3</v>
      </c>
      <c r="H62" s="1">
        <v>3709.1</v>
      </c>
      <c r="I62" s="1">
        <v>169.35</v>
      </c>
      <c r="J62" s="1">
        <f t="shared" ref="J62:J73" si="6">H62-I62</f>
        <v>3539.75</v>
      </c>
      <c r="K62" s="1">
        <v>325.23</v>
      </c>
      <c r="L62" s="1">
        <f t="shared" ref="L62:L73" si="7">M62*2</f>
        <v>18.440799999999999</v>
      </c>
      <c r="M62" s="1">
        <v>9.2203999999999997</v>
      </c>
      <c r="N62" s="1">
        <v>325.82</v>
      </c>
      <c r="O62" s="1">
        <v>335.74</v>
      </c>
      <c r="P62" s="1">
        <v>325.23</v>
      </c>
    </row>
    <row r="63" spans="1:16">
      <c r="A63" s="1">
        <v>5</v>
      </c>
      <c r="B63" s="1">
        <v>0.15</v>
      </c>
      <c r="C63" s="1">
        <v>0.3</v>
      </c>
      <c r="D63" s="1">
        <v>0.46650000000000003</v>
      </c>
      <c r="E63" s="1">
        <v>300</v>
      </c>
      <c r="F63" s="1">
        <v>294.29000000000002</v>
      </c>
      <c r="G63" s="1">
        <v>316.45</v>
      </c>
      <c r="H63" s="1">
        <v>4668.5</v>
      </c>
      <c r="I63" s="1">
        <v>184.83</v>
      </c>
      <c r="J63" s="1">
        <f t="shared" si="6"/>
        <v>4483.67</v>
      </c>
      <c r="K63" s="1">
        <v>320.58999999999997</v>
      </c>
      <c r="L63" s="1">
        <f t="shared" si="7"/>
        <v>18.536999999999999</v>
      </c>
      <c r="M63" s="1">
        <v>9.2684999999999995</v>
      </c>
      <c r="N63" s="1">
        <v>321.16000000000003</v>
      </c>
      <c r="O63" s="1">
        <v>329.36</v>
      </c>
      <c r="P63" s="1">
        <v>320.58999999999997</v>
      </c>
    </row>
    <row r="64" spans="1:16">
      <c r="A64" s="1">
        <v>5</v>
      </c>
      <c r="B64" s="1">
        <v>0.15</v>
      </c>
      <c r="C64" s="1">
        <v>0.3</v>
      </c>
      <c r="D64" s="1">
        <v>0.54430000000000001</v>
      </c>
      <c r="E64" s="1">
        <v>350</v>
      </c>
      <c r="F64" s="1">
        <v>294.07</v>
      </c>
      <c r="G64" s="1">
        <v>313.31</v>
      </c>
      <c r="H64" s="1">
        <v>5697.7</v>
      </c>
      <c r="I64" s="1">
        <v>195.05</v>
      </c>
      <c r="J64" s="1">
        <f t="shared" si="6"/>
        <v>5502.65</v>
      </c>
      <c r="K64" s="1">
        <v>317.27</v>
      </c>
      <c r="L64" s="1">
        <f t="shared" si="7"/>
        <v>18.6266</v>
      </c>
      <c r="M64" s="1">
        <v>9.3132999999999999</v>
      </c>
      <c r="N64" s="1">
        <v>317.82</v>
      </c>
      <c r="O64" s="1">
        <v>324.95999999999998</v>
      </c>
      <c r="P64" s="1">
        <v>317.27</v>
      </c>
    </row>
    <row r="65" spans="1:16">
      <c r="A65" s="1">
        <v>5</v>
      </c>
      <c r="B65" s="1">
        <v>0.15</v>
      </c>
      <c r="C65" s="1">
        <v>0.3</v>
      </c>
      <c r="D65" s="1">
        <v>0.622</v>
      </c>
      <c r="E65" s="1">
        <v>400</v>
      </c>
      <c r="F65" s="1">
        <v>293.91000000000003</v>
      </c>
      <c r="G65" s="1">
        <v>310.69</v>
      </c>
      <c r="H65" s="1">
        <v>6795.9</v>
      </c>
      <c r="I65" s="1">
        <v>200.29</v>
      </c>
      <c r="J65" s="1">
        <f t="shared" si="6"/>
        <v>6595.61</v>
      </c>
      <c r="K65" s="1">
        <v>314.64999999999998</v>
      </c>
      <c r="L65" s="1">
        <f t="shared" si="7"/>
        <v>18.688400000000001</v>
      </c>
      <c r="M65" s="1">
        <v>9.3442000000000007</v>
      </c>
      <c r="N65" s="1">
        <v>315.18</v>
      </c>
      <c r="O65" s="1">
        <v>321.41000000000003</v>
      </c>
      <c r="P65" s="1">
        <v>314.64999999999998</v>
      </c>
    </row>
    <row r="66" spans="1:16">
      <c r="A66" s="1">
        <v>5</v>
      </c>
      <c r="B66" s="1">
        <v>0.15</v>
      </c>
      <c r="C66" s="1">
        <v>0.3</v>
      </c>
      <c r="D66" s="1">
        <v>0.69979999999999998</v>
      </c>
      <c r="E66" s="1">
        <v>450</v>
      </c>
      <c r="F66" s="1">
        <v>293.79000000000002</v>
      </c>
      <c r="G66" s="1">
        <v>308.60000000000002</v>
      </c>
      <c r="H66" s="1">
        <v>7965.8</v>
      </c>
      <c r="I66" s="1">
        <v>200.4</v>
      </c>
      <c r="J66" s="1">
        <f t="shared" si="6"/>
        <v>7765.4000000000005</v>
      </c>
      <c r="K66" s="1">
        <v>312.58999999999997</v>
      </c>
      <c r="L66" s="1">
        <f t="shared" si="7"/>
        <v>18.747199999999999</v>
      </c>
      <c r="M66" s="1">
        <v>9.3735999999999997</v>
      </c>
      <c r="N66" s="1">
        <v>313.11</v>
      </c>
      <c r="O66" s="1">
        <v>318.64</v>
      </c>
      <c r="P66" s="1">
        <v>312.58999999999997</v>
      </c>
    </row>
    <row r="67" spans="1:16">
      <c r="A67" s="1">
        <v>5</v>
      </c>
      <c r="B67" s="1">
        <v>0.15</v>
      </c>
      <c r="C67" s="1">
        <v>0.3</v>
      </c>
      <c r="D67" s="1">
        <v>0.77749999999999997</v>
      </c>
      <c r="E67" s="1">
        <v>500</v>
      </c>
      <c r="F67" s="1">
        <v>293.70999999999998</v>
      </c>
      <c r="G67" s="1">
        <v>307.22000000000003</v>
      </c>
      <c r="H67" s="1">
        <v>9201.4</v>
      </c>
      <c r="I67" s="1">
        <v>195</v>
      </c>
      <c r="J67" s="1">
        <f t="shared" si="6"/>
        <v>9006.4</v>
      </c>
      <c r="K67" s="1">
        <v>311.02</v>
      </c>
      <c r="L67" s="1">
        <f t="shared" si="7"/>
        <v>18.801200000000001</v>
      </c>
      <c r="M67" s="1">
        <v>9.4006000000000007</v>
      </c>
      <c r="N67" s="1">
        <v>311.54000000000002</v>
      </c>
      <c r="O67" s="1">
        <v>316.64</v>
      </c>
      <c r="P67" s="1">
        <v>311.02</v>
      </c>
    </row>
    <row r="68" spans="1:16">
      <c r="A68" s="1">
        <v>5</v>
      </c>
      <c r="B68" s="1">
        <v>0.15</v>
      </c>
      <c r="C68" s="1">
        <v>0.3</v>
      </c>
      <c r="D68" s="1">
        <v>0.85529999999999995</v>
      </c>
      <c r="E68" s="1">
        <v>550</v>
      </c>
      <c r="F68" s="1">
        <v>293.64</v>
      </c>
      <c r="G68" s="1">
        <v>305.92</v>
      </c>
      <c r="H68" s="1">
        <v>10506</v>
      </c>
      <c r="I68" s="1">
        <v>184.02</v>
      </c>
      <c r="J68" s="1">
        <f t="shared" si="6"/>
        <v>10321.98</v>
      </c>
      <c r="K68" s="1">
        <v>309.7</v>
      </c>
      <c r="L68" s="1">
        <f t="shared" si="7"/>
        <v>18.8462</v>
      </c>
      <c r="M68" s="1">
        <v>9.4230999999999998</v>
      </c>
      <c r="N68" s="1">
        <v>310.20999999999998</v>
      </c>
      <c r="O68" s="1">
        <v>314.89</v>
      </c>
      <c r="P68" s="1">
        <v>309.7</v>
      </c>
    </row>
    <row r="69" spans="1:16">
      <c r="A69" s="1">
        <v>5</v>
      </c>
      <c r="B69" s="1">
        <v>0.15</v>
      </c>
      <c r="C69" s="1">
        <v>0.3</v>
      </c>
      <c r="D69" s="1">
        <v>0.93300000000000005</v>
      </c>
      <c r="E69" s="1">
        <v>600</v>
      </c>
      <c r="F69" s="1">
        <v>293.58</v>
      </c>
      <c r="G69" s="1">
        <v>304.95999999999998</v>
      </c>
      <c r="H69" s="1">
        <v>11873</v>
      </c>
      <c r="I69" s="1">
        <v>166.86</v>
      </c>
      <c r="J69" s="1">
        <f t="shared" si="6"/>
        <v>11706.14</v>
      </c>
      <c r="K69" s="1">
        <v>308.62</v>
      </c>
      <c r="L69" s="1">
        <f t="shared" si="7"/>
        <v>18.880800000000001</v>
      </c>
      <c r="M69" s="1">
        <v>9.4404000000000003</v>
      </c>
      <c r="N69" s="1">
        <v>309.13</v>
      </c>
      <c r="O69" s="1">
        <v>313.51</v>
      </c>
      <c r="P69" s="1">
        <v>308.62</v>
      </c>
    </row>
    <row r="70" spans="1:16">
      <c r="A70" s="1">
        <v>5</v>
      </c>
      <c r="B70" s="1">
        <v>0.15</v>
      </c>
      <c r="C70" s="1">
        <v>0.3</v>
      </c>
      <c r="D70" s="1">
        <v>1.0107999999999999</v>
      </c>
      <c r="E70" s="1">
        <v>650</v>
      </c>
      <c r="F70" s="1">
        <v>293.54000000000002</v>
      </c>
      <c r="G70" s="1">
        <v>304.05</v>
      </c>
      <c r="H70" s="1">
        <v>13306</v>
      </c>
      <c r="I70" s="1">
        <v>143.47999999999999</v>
      </c>
      <c r="J70" s="1">
        <f t="shared" si="6"/>
        <v>13162.52</v>
      </c>
      <c r="K70" s="1">
        <v>307.68</v>
      </c>
      <c r="L70" s="1">
        <f t="shared" si="7"/>
        <v>18.908999999999999</v>
      </c>
      <c r="M70" s="1">
        <v>9.4544999999999995</v>
      </c>
      <c r="N70" s="1">
        <v>308.19</v>
      </c>
      <c r="O70" s="1">
        <v>312.27999999999997</v>
      </c>
      <c r="P70" s="1">
        <v>307.68</v>
      </c>
    </row>
    <row r="71" spans="1:16">
      <c r="A71" s="1">
        <v>5</v>
      </c>
      <c r="B71" s="1">
        <v>0.15</v>
      </c>
      <c r="C71" s="1">
        <v>0.3</v>
      </c>
      <c r="D71" s="1">
        <v>1.0885</v>
      </c>
      <c r="E71" s="1">
        <v>700</v>
      </c>
      <c r="F71" s="1">
        <v>293.5</v>
      </c>
      <c r="G71" s="1">
        <v>303.33</v>
      </c>
      <c r="H71" s="1">
        <v>14795</v>
      </c>
      <c r="I71" s="1">
        <v>113.25</v>
      </c>
      <c r="J71" s="1">
        <f t="shared" si="6"/>
        <v>14681.75</v>
      </c>
      <c r="K71" s="1">
        <v>306.89999999999998</v>
      </c>
      <c r="L71" s="1">
        <f t="shared" si="7"/>
        <v>18.936800000000002</v>
      </c>
      <c r="M71" s="1">
        <v>9.4684000000000008</v>
      </c>
      <c r="N71" s="1">
        <v>307.39999999999998</v>
      </c>
      <c r="O71" s="1">
        <v>311.27999999999997</v>
      </c>
      <c r="P71" s="1">
        <v>306.89999999999998</v>
      </c>
    </row>
    <row r="72" spans="1:16">
      <c r="A72" s="1">
        <v>5</v>
      </c>
      <c r="B72" s="1">
        <v>0.15</v>
      </c>
      <c r="C72" s="1">
        <v>0.3</v>
      </c>
      <c r="D72" s="1">
        <v>1.1662999999999999</v>
      </c>
      <c r="E72" s="1">
        <v>750</v>
      </c>
      <c r="F72" s="1">
        <v>293.47000000000003</v>
      </c>
      <c r="G72" s="1">
        <v>302.69</v>
      </c>
      <c r="H72" s="1">
        <v>16345</v>
      </c>
      <c r="I72" s="1">
        <v>76.197000000000003</v>
      </c>
      <c r="J72" s="1">
        <f t="shared" si="6"/>
        <v>16268.803</v>
      </c>
      <c r="K72" s="1">
        <v>306.22000000000003</v>
      </c>
      <c r="L72" s="1">
        <f t="shared" si="7"/>
        <v>18.9664</v>
      </c>
      <c r="M72" s="1">
        <v>9.4832000000000001</v>
      </c>
      <c r="N72" s="1">
        <v>306.72000000000003</v>
      </c>
      <c r="O72" s="1">
        <v>310.39999999999998</v>
      </c>
      <c r="P72" s="1">
        <v>306.22000000000003</v>
      </c>
    </row>
    <row r="73" spans="1:16">
      <c r="A73" s="1">
        <v>5</v>
      </c>
      <c r="B73" s="1">
        <v>0.15</v>
      </c>
      <c r="C73" s="1">
        <v>0.3</v>
      </c>
      <c r="D73" s="1">
        <v>1.244</v>
      </c>
      <c r="E73" s="1">
        <v>800</v>
      </c>
      <c r="F73" s="1">
        <v>293.44</v>
      </c>
      <c r="G73" s="1">
        <v>302.12</v>
      </c>
      <c r="H73" s="1">
        <v>17950</v>
      </c>
      <c r="I73" s="1">
        <v>32.582999999999998</v>
      </c>
      <c r="J73" s="1">
        <f t="shared" si="6"/>
        <v>17917.417000000001</v>
      </c>
      <c r="K73" s="1">
        <v>305.61</v>
      </c>
      <c r="L73" s="1">
        <f t="shared" si="7"/>
        <v>18.9742</v>
      </c>
      <c r="M73" s="1">
        <v>9.4870999999999999</v>
      </c>
      <c r="N73" s="1">
        <v>306.11</v>
      </c>
      <c r="O73" s="1">
        <v>309.61</v>
      </c>
      <c r="P73" s="1">
        <v>305.61</v>
      </c>
    </row>
    <row r="74" spans="1:16">
      <c r="A74" s="1">
        <v>5</v>
      </c>
      <c r="B74" s="1">
        <v>0.15</v>
      </c>
      <c r="C74" s="1">
        <v>0.45</v>
      </c>
      <c r="D74" s="1">
        <v>0.38879999999999998</v>
      </c>
      <c r="E74" s="1">
        <v>250</v>
      </c>
      <c r="F74" s="1">
        <v>294.61</v>
      </c>
      <c r="G74" s="1">
        <v>321.22000000000003</v>
      </c>
      <c r="H74" s="1">
        <v>3890.9</v>
      </c>
      <c r="I74" s="1">
        <v>171.42</v>
      </c>
      <c r="J74" s="1">
        <f t="shared" ref="J74:J85" si="8">H74-I74</f>
        <v>3719.48</v>
      </c>
      <c r="K74" s="1">
        <v>324.45999999999998</v>
      </c>
      <c r="L74" s="1">
        <f t="shared" ref="L74:L85" si="9">M74*2</f>
        <v>18.433</v>
      </c>
      <c r="M74" s="1">
        <v>9.2164999999999999</v>
      </c>
      <c r="N74" s="1">
        <v>325</v>
      </c>
      <c r="O74" s="1">
        <v>334.64</v>
      </c>
      <c r="P74" s="1">
        <v>324.45999999999998</v>
      </c>
    </row>
    <row r="75" spans="1:16">
      <c r="A75" s="1">
        <v>5</v>
      </c>
      <c r="B75" s="1">
        <v>0.15</v>
      </c>
      <c r="C75" s="1">
        <v>0.45</v>
      </c>
      <c r="D75" s="1">
        <v>0.46650000000000003</v>
      </c>
      <c r="E75" s="1">
        <v>300</v>
      </c>
      <c r="F75" s="1">
        <v>294.27999999999997</v>
      </c>
      <c r="G75" s="1">
        <v>316.63</v>
      </c>
      <c r="H75" s="1">
        <v>4904.8999999999996</v>
      </c>
      <c r="I75" s="1">
        <v>189.3</v>
      </c>
      <c r="J75" s="1">
        <f t="shared" si="8"/>
        <v>4715.5999999999995</v>
      </c>
      <c r="K75" s="1">
        <v>320.05</v>
      </c>
      <c r="L75" s="1">
        <f t="shared" si="9"/>
        <v>18.5242</v>
      </c>
      <c r="M75" s="1">
        <v>9.2621000000000002</v>
      </c>
      <c r="N75" s="1">
        <v>320.57</v>
      </c>
      <c r="O75" s="1">
        <v>328.64</v>
      </c>
      <c r="P75" s="1">
        <v>320.05</v>
      </c>
    </row>
    <row r="76" spans="1:16">
      <c r="A76" s="1">
        <v>5</v>
      </c>
      <c r="B76" s="1">
        <v>0.15</v>
      </c>
      <c r="C76" s="1">
        <v>0.45</v>
      </c>
      <c r="D76" s="1">
        <v>0.54430000000000001</v>
      </c>
      <c r="E76" s="1">
        <v>350</v>
      </c>
      <c r="F76" s="1">
        <v>294.06</v>
      </c>
      <c r="G76" s="1">
        <v>313.27</v>
      </c>
      <c r="H76" s="1">
        <v>5995.5</v>
      </c>
      <c r="I76" s="1">
        <v>203.48</v>
      </c>
      <c r="J76" s="1">
        <f t="shared" si="8"/>
        <v>5792.02</v>
      </c>
      <c r="K76" s="1">
        <v>316.77999999999997</v>
      </c>
      <c r="L76" s="1">
        <f t="shared" si="9"/>
        <v>18.604800000000001</v>
      </c>
      <c r="M76" s="1">
        <v>9.3024000000000004</v>
      </c>
      <c r="N76" s="1">
        <v>317.27999999999997</v>
      </c>
      <c r="O76" s="1">
        <v>324.22000000000003</v>
      </c>
      <c r="P76" s="1">
        <v>316.77999999999997</v>
      </c>
    </row>
    <row r="77" spans="1:16">
      <c r="A77" s="1">
        <v>5</v>
      </c>
      <c r="B77" s="1">
        <v>0.15</v>
      </c>
      <c r="C77" s="1">
        <v>0.45</v>
      </c>
      <c r="D77" s="1">
        <v>0.622</v>
      </c>
      <c r="E77" s="1">
        <v>400</v>
      </c>
      <c r="F77" s="1">
        <v>293.89999999999998</v>
      </c>
      <c r="G77" s="1">
        <v>310.64999999999998</v>
      </c>
      <c r="H77" s="1">
        <v>7160.1</v>
      </c>
      <c r="I77" s="1">
        <v>214.19</v>
      </c>
      <c r="J77" s="1">
        <f t="shared" si="8"/>
        <v>6945.9100000000008</v>
      </c>
      <c r="K77" s="1">
        <v>314.26</v>
      </c>
      <c r="L77" s="1">
        <f t="shared" si="9"/>
        <v>18.6694</v>
      </c>
      <c r="M77" s="1">
        <v>9.3346999999999998</v>
      </c>
      <c r="N77" s="1">
        <v>314.75</v>
      </c>
      <c r="O77" s="1">
        <v>320.8</v>
      </c>
      <c r="P77" s="1">
        <v>314.26</v>
      </c>
    </row>
    <row r="78" spans="1:16">
      <c r="A78" s="1">
        <v>5</v>
      </c>
      <c r="B78" s="1">
        <v>0.15</v>
      </c>
      <c r="C78" s="1">
        <v>0.45</v>
      </c>
      <c r="D78" s="1">
        <v>0.69979999999999998</v>
      </c>
      <c r="E78" s="1">
        <v>450</v>
      </c>
      <c r="F78" s="1">
        <v>293.79000000000002</v>
      </c>
      <c r="G78" s="1">
        <v>308.58</v>
      </c>
      <c r="H78" s="1">
        <v>8399.9</v>
      </c>
      <c r="I78" s="1">
        <v>221.14</v>
      </c>
      <c r="J78" s="1">
        <f t="shared" si="8"/>
        <v>8178.7599999999993</v>
      </c>
      <c r="K78" s="1">
        <v>312.27</v>
      </c>
      <c r="L78" s="1">
        <f t="shared" si="9"/>
        <v>18.7196</v>
      </c>
      <c r="M78" s="1">
        <v>9.3597999999999999</v>
      </c>
      <c r="N78" s="1">
        <v>312.75</v>
      </c>
      <c r="O78" s="1">
        <v>318.12</v>
      </c>
      <c r="P78" s="1">
        <v>312.27</v>
      </c>
    </row>
    <row r="79" spans="1:16">
      <c r="A79" s="1">
        <v>5</v>
      </c>
      <c r="B79" s="1">
        <v>0.15</v>
      </c>
      <c r="C79" s="1">
        <v>0.45</v>
      </c>
      <c r="D79" s="1">
        <v>0.77749999999999997</v>
      </c>
      <c r="E79" s="1">
        <v>500</v>
      </c>
      <c r="F79" s="1">
        <v>293.7</v>
      </c>
      <c r="G79" s="1">
        <v>307.38</v>
      </c>
      <c r="H79" s="1">
        <v>9706</v>
      </c>
      <c r="I79" s="1">
        <v>222.78</v>
      </c>
      <c r="J79" s="1">
        <f t="shared" si="8"/>
        <v>9483.2199999999993</v>
      </c>
      <c r="K79" s="1">
        <v>310.82</v>
      </c>
      <c r="L79" s="1">
        <f t="shared" si="9"/>
        <v>18.772600000000001</v>
      </c>
      <c r="M79" s="1">
        <v>9.3863000000000003</v>
      </c>
      <c r="N79" s="1">
        <v>311.3</v>
      </c>
      <c r="O79" s="1">
        <v>316.33999999999997</v>
      </c>
      <c r="P79" s="1">
        <v>310.82</v>
      </c>
    </row>
    <row r="80" spans="1:16">
      <c r="A80" s="1">
        <v>5</v>
      </c>
      <c r="B80" s="1">
        <v>0.15</v>
      </c>
      <c r="C80" s="1">
        <v>0.45</v>
      </c>
      <c r="D80" s="1">
        <v>0.85529999999999995</v>
      </c>
      <c r="E80" s="1">
        <v>550</v>
      </c>
      <c r="F80" s="1">
        <v>293.64</v>
      </c>
      <c r="G80" s="1">
        <v>306.18</v>
      </c>
      <c r="H80" s="1">
        <v>11084</v>
      </c>
      <c r="I80" s="1">
        <v>217.78</v>
      </c>
      <c r="J80" s="1">
        <f t="shared" si="8"/>
        <v>10866.22</v>
      </c>
      <c r="K80" s="1">
        <v>309.55</v>
      </c>
      <c r="L80" s="1">
        <f t="shared" si="9"/>
        <v>18.809000000000001</v>
      </c>
      <c r="M80" s="1">
        <v>9.4045000000000005</v>
      </c>
      <c r="N80" s="1">
        <v>310.02999999999997</v>
      </c>
      <c r="O80" s="1">
        <v>314.70999999999998</v>
      </c>
      <c r="P80" s="1">
        <v>309.55</v>
      </c>
    </row>
    <row r="81" spans="1:16">
      <c r="A81" s="1">
        <v>5</v>
      </c>
      <c r="B81" s="1">
        <v>0.15</v>
      </c>
      <c r="C81" s="1">
        <v>0.45</v>
      </c>
      <c r="D81" s="1">
        <v>0.93300000000000005</v>
      </c>
      <c r="E81" s="1">
        <v>600</v>
      </c>
      <c r="F81" s="1">
        <v>293.58</v>
      </c>
      <c r="G81" s="1">
        <v>305.11</v>
      </c>
      <c r="H81" s="1">
        <v>12533</v>
      </c>
      <c r="I81" s="1">
        <v>205.21</v>
      </c>
      <c r="J81" s="1">
        <f t="shared" si="8"/>
        <v>12327.79</v>
      </c>
      <c r="K81" s="1">
        <v>308.47000000000003</v>
      </c>
      <c r="L81" s="1">
        <f t="shared" si="9"/>
        <v>18.841000000000001</v>
      </c>
      <c r="M81" s="1">
        <v>9.4205000000000005</v>
      </c>
      <c r="N81" s="1">
        <v>308.94</v>
      </c>
      <c r="O81" s="1">
        <v>313.3</v>
      </c>
      <c r="P81" s="1">
        <v>308.47000000000003</v>
      </c>
    </row>
    <row r="82" spans="1:16">
      <c r="A82" s="1">
        <v>5</v>
      </c>
      <c r="B82" s="1">
        <v>0.15</v>
      </c>
      <c r="C82" s="1">
        <v>0.45</v>
      </c>
      <c r="D82" s="1">
        <v>1.0107999999999999</v>
      </c>
      <c r="E82" s="1">
        <v>650</v>
      </c>
      <c r="F82" s="1">
        <v>293.54000000000002</v>
      </c>
      <c r="G82" s="1">
        <v>304.22000000000003</v>
      </c>
      <c r="H82" s="1">
        <v>14057</v>
      </c>
      <c r="I82" s="1">
        <v>184.33</v>
      </c>
      <c r="J82" s="1">
        <f t="shared" si="8"/>
        <v>13872.67</v>
      </c>
      <c r="K82" s="1">
        <v>307.55</v>
      </c>
      <c r="L82" s="1">
        <f t="shared" si="9"/>
        <v>18.860800000000001</v>
      </c>
      <c r="M82" s="1">
        <v>9.4304000000000006</v>
      </c>
      <c r="N82" s="1">
        <v>308.02</v>
      </c>
      <c r="O82" s="1">
        <v>312.11</v>
      </c>
      <c r="P82" s="1">
        <v>307.55</v>
      </c>
    </row>
    <row r="83" spans="1:16">
      <c r="A83" s="1">
        <v>5</v>
      </c>
      <c r="B83" s="1">
        <v>0.15</v>
      </c>
      <c r="C83" s="1">
        <v>0.45</v>
      </c>
      <c r="D83" s="1">
        <v>1.0885</v>
      </c>
      <c r="E83" s="1">
        <v>700</v>
      </c>
      <c r="F83" s="1">
        <v>293.5</v>
      </c>
      <c r="G83" s="1">
        <v>303.42</v>
      </c>
      <c r="H83" s="1">
        <v>15652</v>
      </c>
      <c r="I83" s="1">
        <v>155.47999999999999</v>
      </c>
      <c r="J83" s="1">
        <f t="shared" si="8"/>
        <v>15496.52</v>
      </c>
      <c r="K83" s="1">
        <v>306.76</v>
      </c>
      <c r="L83" s="1">
        <f t="shared" si="9"/>
        <v>18.884399999999999</v>
      </c>
      <c r="M83" s="1">
        <v>9.4421999999999997</v>
      </c>
      <c r="N83" s="1">
        <v>307.23</v>
      </c>
      <c r="O83" s="1">
        <v>311.07</v>
      </c>
      <c r="P83" s="1">
        <v>306.76</v>
      </c>
    </row>
    <row r="84" spans="1:16">
      <c r="A84" s="1">
        <v>5</v>
      </c>
      <c r="B84" s="1">
        <v>0.15</v>
      </c>
      <c r="C84" s="1">
        <v>0.45</v>
      </c>
      <c r="D84" s="1">
        <v>1.1662999999999999</v>
      </c>
      <c r="E84" s="1">
        <v>750</v>
      </c>
      <c r="F84" s="1">
        <v>293.47000000000003</v>
      </c>
      <c r="G84" s="1">
        <v>302.70999999999998</v>
      </c>
      <c r="H84" s="1">
        <v>17323</v>
      </c>
      <c r="I84" s="1">
        <v>119.28</v>
      </c>
      <c r="J84" s="1">
        <f t="shared" si="8"/>
        <v>17203.72</v>
      </c>
      <c r="K84" s="1">
        <v>306.06</v>
      </c>
      <c r="L84" s="1">
        <f t="shared" si="9"/>
        <v>18.881399999999999</v>
      </c>
      <c r="M84" s="1">
        <v>9.4406999999999996</v>
      </c>
      <c r="N84" s="1">
        <v>306.52999999999997</v>
      </c>
      <c r="O84" s="1">
        <v>310.14999999999998</v>
      </c>
      <c r="P84" s="1">
        <v>306.06</v>
      </c>
    </row>
    <row r="85" spans="1:16">
      <c r="A85" s="1">
        <v>5</v>
      </c>
      <c r="B85" s="1">
        <v>0.15</v>
      </c>
      <c r="C85" s="1">
        <v>0.45</v>
      </c>
      <c r="D85" s="1">
        <v>1.244</v>
      </c>
      <c r="E85" s="1">
        <v>800</v>
      </c>
      <c r="F85" s="1">
        <v>293.44</v>
      </c>
      <c r="G85" s="1">
        <v>302.11</v>
      </c>
      <c r="H85" s="1">
        <v>19067</v>
      </c>
      <c r="I85" s="1">
        <v>77.290000000000006</v>
      </c>
      <c r="J85" s="1">
        <f t="shared" si="8"/>
        <v>18989.71</v>
      </c>
      <c r="K85" s="1">
        <v>305.45</v>
      </c>
      <c r="L85" s="1">
        <f t="shared" si="9"/>
        <v>18.900400000000001</v>
      </c>
      <c r="M85" s="1">
        <v>9.4502000000000006</v>
      </c>
      <c r="N85" s="1">
        <v>305.92</v>
      </c>
      <c r="O85" s="1">
        <v>309.35000000000002</v>
      </c>
      <c r="P85" s="1">
        <v>305.45</v>
      </c>
    </row>
    <row r="86" spans="1:16">
      <c r="A86" s="1">
        <v>5</v>
      </c>
      <c r="B86" s="1">
        <v>0.15</v>
      </c>
      <c r="C86" s="1">
        <v>0.6</v>
      </c>
      <c r="D86" s="1">
        <v>0.38879999999999998</v>
      </c>
      <c r="E86" s="1">
        <v>250</v>
      </c>
      <c r="F86" s="1">
        <v>294.5</v>
      </c>
      <c r="G86" s="1">
        <v>321.39</v>
      </c>
      <c r="H86" s="1">
        <v>4265.6000000000004</v>
      </c>
      <c r="I86" s="1">
        <v>172.99</v>
      </c>
      <c r="J86" s="1">
        <f t="shared" ref="J86:J97" si="10">H86-I86</f>
        <v>4092.6100000000006</v>
      </c>
      <c r="K86" s="1">
        <v>324.20999999999998</v>
      </c>
      <c r="L86" s="1">
        <f t="shared" ref="L86:L97" si="11">M86*2</f>
        <v>18.4908</v>
      </c>
      <c r="M86" s="1">
        <v>9.2454000000000001</v>
      </c>
      <c r="N86" s="1">
        <v>324.98</v>
      </c>
      <c r="O86" s="1">
        <v>335.52</v>
      </c>
      <c r="P86" s="1">
        <v>324.20999999999998</v>
      </c>
    </row>
    <row r="87" spans="1:16">
      <c r="A87" s="1">
        <v>5</v>
      </c>
      <c r="B87" s="1">
        <v>0.15</v>
      </c>
      <c r="C87" s="1">
        <v>0.6</v>
      </c>
      <c r="D87" s="1">
        <v>0.46650000000000003</v>
      </c>
      <c r="E87" s="1">
        <v>300</v>
      </c>
      <c r="F87" s="1">
        <v>294.20999999999998</v>
      </c>
      <c r="G87" s="1">
        <v>316.52</v>
      </c>
      <c r="H87" s="1">
        <v>5333.5</v>
      </c>
      <c r="I87" s="1">
        <v>190.58</v>
      </c>
      <c r="J87" s="1">
        <f t="shared" si="10"/>
        <v>5142.92</v>
      </c>
      <c r="K87" s="1">
        <v>320.32</v>
      </c>
      <c r="L87" s="1">
        <f t="shared" si="11"/>
        <v>18.558</v>
      </c>
      <c r="M87" s="1">
        <v>9.2789999999999999</v>
      </c>
      <c r="N87" s="1">
        <v>321.05</v>
      </c>
      <c r="O87" s="1">
        <v>329.87</v>
      </c>
      <c r="P87" s="1">
        <v>320.32</v>
      </c>
    </row>
    <row r="88" spans="1:16">
      <c r="A88" s="1">
        <v>5</v>
      </c>
      <c r="B88" s="1">
        <v>0.15</v>
      </c>
      <c r="C88" s="1">
        <v>0.6</v>
      </c>
      <c r="D88" s="1">
        <v>0.54430000000000001</v>
      </c>
      <c r="E88" s="1">
        <v>350</v>
      </c>
      <c r="F88" s="1">
        <v>294.01</v>
      </c>
      <c r="G88" s="1">
        <v>313.14999999999998</v>
      </c>
      <c r="H88" s="1">
        <v>6463</v>
      </c>
      <c r="I88" s="1">
        <v>202.61</v>
      </c>
      <c r="J88" s="1">
        <f t="shared" si="10"/>
        <v>6260.39</v>
      </c>
      <c r="K88" s="1">
        <v>317.41000000000003</v>
      </c>
      <c r="L88" s="1">
        <f t="shared" si="11"/>
        <v>18.619199999999999</v>
      </c>
      <c r="M88" s="1">
        <v>9.3095999999999997</v>
      </c>
      <c r="N88" s="1">
        <v>318.12</v>
      </c>
      <c r="O88" s="1">
        <v>325.73</v>
      </c>
      <c r="P88" s="1">
        <v>317.41000000000003</v>
      </c>
    </row>
    <row r="89" spans="1:16">
      <c r="A89" s="1">
        <v>5</v>
      </c>
      <c r="B89" s="1">
        <v>0.15</v>
      </c>
      <c r="C89" s="1">
        <v>0.6</v>
      </c>
      <c r="D89" s="1">
        <v>0.622</v>
      </c>
      <c r="E89" s="1">
        <v>400</v>
      </c>
      <c r="F89" s="1">
        <v>293.88</v>
      </c>
      <c r="G89" s="1">
        <v>310.74</v>
      </c>
      <c r="H89" s="1">
        <v>7652.5</v>
      </c>
      <c r="I89" s="1">
        <v>208.54</v>
      </c>
      <c r="J89" s="1">
        <f t="shared" si="10"/>
        <v>7443.96</v>
      </c>
      <c r="K89" s="1">
        <v>315.16000000000003</v>
      </c>
      <c r="L89" s="1">
        <f t="shared" si="11"/>
        <v>18.6722</v>
      </c>
      <c r="M89" s="1">
        <v>9.3361000000000001</v>
      </c>
      <c r="N89" s="1">
        <v>315.83999999999997</v>
      </c>
      <c r="O89" s="1">
        <v>322.58</v>
      </c>
      <c r="P89" s="1">
        <v>315.16000000000003</v>
      </c>
    </row>
    <row r="90" spans="1:16">
      <c r="A90" s="1">
        <v>5</v>
      </c>
      <c r="B90" s="1">
        <v>0.15</v>
      </c>
      <c r="C90" s="1">
        <v>0.6</v>
      </c>
      <c r="D90" s="1">
        <v>0.69979999999999998</v>
      </c>
      <c r="E90" s="1">
        <v>450</v>
      </c>
      <c r="F90" s="1">
        <v>293.77</v>
      </c>
      <c r="G90" s="1">
        <v>308.7</v>
      </c>
      <c r="H90" s="1">
        <v>8908.1</v>
      </c>
      <c r="I90" s="1">
        <v>208.22</v>
      </c>
      <c r="J90" s="1">
        <f t="shared" si="10"/>
        <v>8699.880000000001</v>
      </c>
      <c r="K90" s="1">
        <v>313.27999999999997</v>
      </c>
      <c r="L90" s="1">
        <f t="shared" si="11"/>
        <v>18.716200000000001</v>
      </c>
      <c r="M90" s="1">
        <v>9.3581000000000003</v>
      </c>
      <c r="N90" s="1">
        <v>313.95</v>
      </c>
      <c r="O90" s="1">
        <v>319.93</v>
      </c>
      <c r="P90" s="1">
        <v>313.27999999999997</v>
      </c>
    </row>
    <row r="91" spans="1:16">
      <c r="A91" s="1">
        <v>5</v>
      </c>
      <c r="B91" s="1">
        <v>0.15</v>
      </c>
      <c r="C91" s="1">
        <v>0.6</v>
      </c>
      <c r="D91" s="1">
        <v>0.77749999999999997</v>
      </c>
      <c r="E91" s="1">
        <v>500</v>
      </c>
      <c r="F91" s="1">
        <v>293.69</v>
      </c>
      <c r="G91" s="1">
        <v>307.2</v>
      </c>
      <c r="H91" s="1">
        <v>10228</v>
      </c>
      <c r="I91" s="1">
        <v>201.23</v>
      </c>
      <c r="J91" s="1">
        <f t="shared" si="10"/>
        <v>10026.77</v>
      </c>
      <c r="K91" s="1">
        <v>311.79000000000002</v>
      </c>
      <c r="L91" s="1">
        <f t="shared" si="11"/>
        <v>18.755600000000001</v>
      </c>
      <c r="M91" s="1">
        <v>9.3778000000000006</v>
      </c>
      <c r="N91" s="1">
        <v>312.44</v>
      </c>
      <c r="O91" s="1">
        <v>317.87</v>
      </c>
      <c r="P91" s="1">
        <v>311.79000000000002</v>
      </c>
    </row>
    <row r="92" spans="1:16">
      <c r="A92" s="1">
        <v>5</v>
      </c>
      <c r="B92" s="1">
        <v>0.15</v>
      </c>
      <c r="C92" s="1">
        <v>0.6</v>
      </c>
      <c r="D92" s="1">
        <v>0.85529999999999995</v>
      </c>
      <c r="E92" s="1">
        <v>550</v>
      </c>
      <c r="F92" s="1">
        <v>293.63</v>
      </c>
      <c r="G92" s="1">
        <v>305.85000000000002</v>
      </c>
      <c r="H92" s="1">
        <v>11618</v>
      </c>
      <c r="I92" s="1">
        <v>187.57</v>
      </c>
      <c r="J92" s="1">
        <f t="shared" si="10"/>
        <v>11430.43</v>
      </c>
      <c r="K92" s="1">
        <v>310.5</v>
      </c>
      <c r="L92" s="1">
        <f t="shared" si="11"/>
        <v>18.786200000000001</v>
      </c>
      <c r="M92" s="1">
        <v>9.3931000000000004</v>
      </c>
      <c r="N92" s="1">
        <v>311.14</v>
      </c>
      <c r="O92" s="1">
        <v>316.06</v>
      </c>
      <c r="P92" s="1">
        <v>310.5</v>
      </c>
    </row>
    <row r="93" spans="1:16">
      <c r="A93" s="1">
        <v>5</v>
      </c>
      <c r="B93" s="1">
        <v>0.15</v>
      </c>
      <c r="C93" s="1">
        <v>0.6</v>
      </c>
      <c r="D93" s="1">
        <v>0.93300000000000005</v>
      </c>
      <c r="E93" s="1">
        <v>600</v>
      </c>
      <c r="F93" s="1">
        <v>293.58</v>
      </c>
      <c r="G93" s="1">
        <v>304.94</v>
      </c>
      <c r="H93" s="1">
        <v>13075</v>
      </c>
      <c r="I93" s="1">
        <v>166.55</v>
      </c>
      <c r="J93" s="1">
        <f t="shared" si="10"/>
        <v>12908.45</v>
      </c>
      <c r="K93" s="1">
        <v>309.47000000000003</v>
      </c>
      <c r="L93" s="1">
        <f t="shared" si="11"/>
        <v>18.816199999999998</v>
      </c>
      <c r="M93" s="1">
        <v>9.4080999999999992</v>
      </c>
      <c r="N93" s="1">
        <v>310.10000000000002</v>
      </c>
      <c r="O93" s="1">
        <v>314.7</v>
      </c>
      <c r="P93" s="1">
        <v>309.47000000000003</v>
      </c>
    </row>
    <row r="94" spans="1:16">
      <c r="A94" s="1">
        <v>5</v>
      </c>
      <c r="B94" s="1">
        <v>0.15</v>
      </c>
      <c r="C94" s="1">
        <v>0.6</v>
      </c>
      <c r="D94" s="1">
        <v>1.0107999999999999</v>
      </c>
      <c r="E94" s="1">
        <v>650</v>
      </c>
      <c r="F94" s="1">
        <v>293.54000000000002</v>
      </c>
      <c r="G94" s="1">
        <v>303.95</v>
      </c>
      <c r="H94" s="1">
        <v>14603</v>
      </c>
      <c r="I94" s="1">
        <v>138.88999999999999</v>
      </c>
      <c r="J94" s="1">
        <f t="shared" si="10"/>
        <v>14464.11</v>
      </c>
      <c r="K94" s="1">
        <v>308.52</v>
      </c>
      <c r="L94" s="1">
        <f t="shared" si="11"/>
        <v>18.836600000000001</v>
      </c>
      <c r="M94" s="1">
        <v>9.4183000000000003</v>
      </c>
      <c r="N94" s="1">
        <v>309.13</v>
      </c>
      <c r="O94" s="1">
        <v>313.37</v>
      </c>
      <c r="P94" s="1">
        <v>308.52</v>
      </c>
    </row>
    <row r="95" spans="1:16">
      <c r="A95" s="1">
        <v>5</v>
      </c>
      <c r="B95" s="1">
        <v>0.15</v>
      </c>
      <c r="C95" s="1">
        <v>0.6</v>
      </c>
      <c r="D95" s="1">
        <v>1.0885</v>
      </c>
      <c r="E95" s="1">
        <v>700</v>
      </c>
      <c r="F95" s="1">
        <v>293.5</v>
      </c>
      <c r="G95" s="1">
        <v>303.20999999999998</v>
      </c>
      <c r="H95" s="1">
        <v>16198</v>
      </c>
      <c r="I95" s="1">
        <v>103.9</v>
      </c>
      <c r="J95" s="1">
        <f t="shared" si="10"/>
        <v>16094.1</v>
      </c>
      <c r="K95" s="1">
        <v>307.72000000000003</v>
      </c>
      <c r="L95" s="1">
        <f t="shared" si="11"/>
        <v>18.857399999999998</v>
      </c>
      <c r="M95" s="1">
        <v>9.4286999999999992</v>
      </c>
      <c r="N95" s="1">
        <v>308.33</v>
      </c>
      <c r="O95" s="1">
        <v>312.3</v>
      </c>
      <c r="P95" s="1">
        <v>307.72000000000003</v>
      </c>
    </row>
    <row r="96" spans="1:16">
      <c r="A96" s="1">
        <v>5</v>
      </c>
      <c r="B96" s="1">
        <v>0.15</v>
      </c>
      <c r="C96" s="1">
        <v>0.6</v>
      </c>
      <c r="D96" s="1">
        <v>1.1662999999999999</v>
      </c>
      <c r="E96" s="1">
        <v>750</v>
      </c>
      <c r="F96" s="1">
        <v>293.47000000000003</v>
      </c>
      <c r="G96" s="1">
        <v>302.5</v>
      </c>
      <c r="H96" s="1">
        <v>17860</v>
      </c>
      <c r="I96" s="1">
        <v>61.847999999999999</v>
      </c>
      <c r="J96" s="1">
        <f t="shared" si="10"/>
        <v>17798.151999999998</v>
      </c>
      <c r="K96" s="1">
        <v>307</v>
      </c>
      <c r="L96" s="1">
        <f t="shared" si="11"/>
        <v>18.872</v>
      </c>
      <c r="M96" s="1">
        <v>9.4359999999999999</v>
      </c>
      <c r="N96" s="1">
        <v>307.60000000000002</v>
      </c>
      <c r="O96" s="1">
        <v>311.3</v>
      </c>
      <c r="P96" s="1">
        <v>307</v>
      </c>
    </row>
    <row r="97" spans="1:16">
      <c r="A97" s="1">
        <v>5</v>
      </c>
      <c r="B97" s="1">
        <v>0.15</v>
      </c>
      <c r="C97" s="1">
        <v>0.6</v>
      </c>
      <c r="D97" s="1">
        <v>1.244</v>
      </c>
      <c r="E97" s="1">
        <v>800</v>
      </c>
      <c r="F97" s="1">
        <v>293.45</v>
      </c>
      <c r="G97" s="1">
        <v>302.06</v>
      </c>
      <c r="H97" s="1">
        <v>19586</v>
      </c>
      <c r="I97" s="1">
        <v>12.417999999999999</v>
      </c>
      <c r="J97" s="1">
        <f t="shared" si="10"/>
        <v>19573.581999999999</v>
      </c>
      <c r="K97" s="1">
        <v>306.42</v>
      </c>
      <c r="L97" s="1">
        <f t="shared" si="11"/>
        <v>18.891200000000001</v>
      </c>
      <c r="M97" s="1">
        <v>9.4456000000000007</v>
      </c>
      <c r="N97" s="1">
        <v>307.01</v>
      </c>
      <c r="O97" s="1">
        <v>310.57</v>
      </c>
      <c r="P97" s="1">
        <v>306.42</v>
      </c>
    </row>
    <row r="98" spans="1:16">
      <c r="A98" s="1">
        <v>5</v>
      </c>
      <c r="B98" s="1">
        <v>0.05</v>
      </c>
      <c r="C98" s="1">
        <v>0.3</v>
      </c>
      <c r="D98" s="1">
        <v>0.38879999999999998</v>
      </c>
      <c r="F98" s="1">
        <v>295.25</v>
      </c>
      <c r="G98" s="1">
        <v>320.77999999999997</v>
      </c>
      <c r="H98" s="1">
        <v>2738.8</v>
      </c>
      <c r="I98" s="1">
        <v>249.91</v>
      </c>
      <c r="J98" s="1">
        <f>H98-I98</f>
        <v>2488.8900000000003</v>
      </c>
      <c r="K98" s="1">
        <v>338.21</v>
      </c>
      <c r="L98" s="1">
        <f>M98*2</f>
        <v>15.605600000000001</v>
      </c>
      <c r="M98" s="1">
        <v>7.8028000000000004</v>
      </c>
      <c r="N98" s="1">
        <v>338.54</v>
      </c>
      <c r="O98" s="1">
        <v>349.28</v>
      </c>
      <c r="P98" s="1">
        <v>338.21</v>
      </c>
    </row>
    <row r="99" spans="1:16">
      <c r="A99" s="1">
        <v>5</v>
      </c>
      <c r="B99" s="1">
        <v>0.05</v>
      </c>
      <c r="C99" s="1">
        <v>0.3</v>
      </c>
      <c r="D99" s="1">
        <v>0.46650000000000003</v>
      </c>
      <c r="F99" s="1">
        <v>294.81</v>
      </c>
      <c r="G99" s="1">
        <v>316.36</v>
      </c>
      <c r="H99" s="1">
        <v>3377.7</v>
      </c>
      <c r="I99" s="1">
        <v>301.07</v>
      </c>
      <c r="J99" s="1">
        <f>H99-I99</f>
        <v>3076.6299999999997</v>
      </c>
      <c r="K99" s="1">
        <v>333.35</v>
      </c>
      <c r="L99" s="1">
        <f>M99*2</f>
        <v>15.6374</v>
      </c>
      <c r="M99" s="1">
        <v>7.8186999999999998</v>
      </c>
      <c r="N99" s="1">
        <v>333.68</v>
      </c>
      <c r="O99" s="1">
        <v>343</v>
      </c>
      <c r="P99" s="1">
        <v>333.35</v>
      </c>
    </row>
    <row r="100" spans="1:16">
      <c r="A100" s="1">
        <v>5</v>
      </c>
      <c r="B100" s="1">
        <v>0.05</v>
      </c>
      <c r="C100" s="1">
        <v>0.3</v>
      </c>
      <c r="D100" s="1">
        <v>0.54430000000000001</v>
      </c>
      <c r="F100" s="1">
        <v>294.51</v>
      </c>
      <c r="G100" s="1">
        <v>312.98</v>
      </c>
      <c r="H100" s="1">
        <v>4043.4</v>
      </c>
      <c r="I100" s="1">
        <v>353.56</v>
      </c>
      <c r="J100" s="1">
        <f t="shared" ref="J100:J109" si="12">H100-I100</f>
        <v>3689.84</v>
      </c>
      <c r="K100" s="1">
        <v>329.68</v>
      </c>
      <c r="L100" s="1">
        <f t="shared" ref="L100:L109" si="13">M100*2</f>
        <v>15.668799999999999</v>
      </c>
      <c r="M100" s="1">
        <v>7.8343999999999996</v>
      </c>
      <c r="N100" s="1">
        <v>330.01</v>
      </c>
      <c r="O100" s="1">
        <v>338.25</v>
      </c>
      <c r="P100" s="1">
        <v>329.68</v>
      </c>
    </row>
    <row r="101" spans="1:16">
      <c r="A101" s="1">
        <v>5</v>
      </c>
      <c r="B101" s="1">
        <v>0.05</v>
      </c>
      <c r="C101" s="1">
        <v>0.3</v>
      </c>
      <c r="D101" s="1">
        <v>0.622</v>
      </c>
      <c r="F101" s="1">
        <v>294.3</v>
      </c>
      <c r="G101" s="1">
        <v>310.43</v>
      </c>
      <c r="H101" s="1">
        <v>4734.3</v>
      </c>
      <c r="I101" s="1">
        <v>407.2</v>
      </c>
      <c r="J101" s="1">
        <f t="shared" si="12"/>
        <v>4327.1000000000004</v>
      </c>
      <c r="K101" s="1">
        <v>326.88</v>
      </c>
      <c r="L101" s="1">
        <f t="shared" si="13"/>
        <v>15.706</v>
      </c>
      <c r="M101" s="1">
        <v>7.8529999999999998</v>
      </c>
      <c r="N101" s="1">
        <v>327.2</v>
      </c>
      <c r="O101" s="1">
        <v>334.63</v>
      </c>
      <c r="P101" s="1">
        <v>326.88</v>
      </c>
    </row>
    <row r="102" spans="1:16">
      <c r="A102" s="1">
        <v>5</v>
      </c>
      <c r="B102" s="1">
        <v>0.05</v>
      </c>
      <c r="C102" s="1">
        <v>0.3</v>
      </c>
      <c r="D102" s="1">
        <v>0.69979999999999998</v>
      </c>
      <c r="F102" s="1">
        <v>294.14</v>
      </c>
      <c r="G102" s="1">
        <v>308.43</v>
      </c>
      <c r="H102" s="1">
        <v>5451.9</v>
      </c>
      <c r="I102" s="1">
        <v>462.05</v>
      </c>
      <c r="J102" s="1">
        <f t="shared" si="12"/>
        <v>4989.8499999999995</v>
      </c>
      <c r="K102" s="1">
        <v>324.64</v>
      </c>
      <c r="L102" s="1">
        <f t="shared" si="13"/>
        <v>15.7476</v>
      </c>
      <c r="M102" s="1">
        <v>7.8738000000000001</v>
      </c>
      <c r="N102" s="1">
        <v>324.97000000000003</v>
      </c>
      <c r="O102" s="1">
        <v>331.75</v>
      </c>
      <c r="P102" s="1">
        <v>324.64</v>
      </c>
    </row>
    <row r="103" spans="1:16">
      <c r="A103" s="1">
        <v>5</v>
      </c>
      <c r="B103" s="1">
        <v>0.05</v>
      </c>
      <c r="C103" s="1">
        <v>0.3</v>
      </c>
      <c r="D103" s="1">
        <v>0.77749999999999997</v>
      </c>
      <c r="F103" s="1">
        <v>294.01</v>
      </c>
      <c r="G103" s="1">
        <v>306.82</v>
      </c>
      <c r="H103" s="1">
        <v>6194.7</v>
      </c>
      <c r="I103" s="1">
        <v>517.91999999999996</v>
      </c>
      <c r="J103" s="1">
        <f t="shared" si="12"/>
        <v>5676.78</v>
      </c>
      <c r="K103" s="1">
        <v>322.8</v>
      </c>
      <c r="L103" s="1">
        <f t="shared" si="13"/>
        <v>15.7872</v>
      </c>
      <c r="M103" s="1">
        <v>7.8936000000000002</v>
      </c>
      <c r="N103" s="1">
        <v>323.12</v>
      </c>
      <c r="O103" s="1">
        <v>329.39</v>
      </c>
      <c r="P103" s="1">
        <v>322.8</v>
      </c>
    </row>
    <row r="104" spans="1:16">
      <c r="A104" s="1">
        <v>5</v>
      </c>
      <c r="B104" s="1">
        <v>0.05</v>
      </c>
      <c r="C104" s="1">
        <v>0.3</v>
      </c>
      <c r="D104" s="1">
        <v>0.85529999999999995</v>
      </c>
      <c r="F104" s="1">
        <v>293.92</v>
      </c>
      <c r="G104" s="1">
        <v>305.75</v>
      </c>
      <c r="H104" s="1">
        <v>6962.2</v>
      </c>
      <c r="I104" s="1">
        <v>574.41</v>
      </c>
      <c r="J104" s="1">
        <f t="shared" si="12"/>
        <v>6387.79</v>
      </c>
      <c r="K104" s="1">
        <v>321.32</v>
      </c>
      <c r="L104" s="1">
        <f t="shared" si="13"/>
        <v>15.8338</v>
      </c>
      <c r="M104" s="1">
        <v>7.9169</v>
      </c>
      <c r="N104" s="1">
        <v>321.64999999999998</v>
      </c>
      <c r="O104" s="1">
        <v>327.55</v>
      </c>
      <c r="P104" s="1">
        <v>321.32</v>
      </c>
    </row>
    <row r="105" spans="1:16">
      <c r="A105" s="1">
        <v>5</v>
      </c>
      <c r="B105" s="1">
        <v>0.05</v>
      </c>
      <c r="C105" s="1">
        <v>0.3</v>
      </c>
      <c r="D105" s="1">
        <v>0.93300000000000005</v>
      </c>
      <c r="F105" s="1">
        <v>293.83999999999997</v>
      </c>
      <c r="G105" s="1">
        <v>304.66000000000003</v>
      </c>
      <c r="H105" s="1">
        <v>7756.5</v>
      </c>
      <c r="I105" s="1">
        <v>631.83000000000004</v>
      </c>
      <c r="J105" s="1">
        <f t="shared" si="12"/>
        <v>7124.67</v>
      </c>
      <c r="K105" s="1">
        <v>319.97000000000003</v>
      </c>
      <c r="L105" s="1">
        <f t="shared" si="13"/>
        <v>15.8756</v>
      </c>
      <c r="M105" s="1">
        <v>7.9378000000000002</v>
      </c>
      <c r="N105" s="1">
        <v>320.29000000000002</v>
      </c>
      <c r="O105" s="1">
        <v>325.8</v>
      </c>
      <c r="P105" s="1">
        <v>319.97000000000003</v>
      </c>
    </row>
    <row r="106" spans="1:16">
      <c r="A106" s="1">
        <v>5</v>
      </c>
      <c r="B106" s="1">
        <v>0.05</v>
      </c>
      <c r="C106" s="1">
        <v>0.3</v>
      </c>
      <c r="D106" s="1">
        <v>1.0107999999999999</v>
      </c>
      <c r="F106" s="1">
        <v>293.77</v>
      </c>
      <c r="G106" s="1">
        <v>303.89</v>
      </c>
      <c r="H106" s="1">
        <v>8578.1</v>
      </c>
      <c r="I106" s="1">
        <v>689.42</v>
      </c>
      <c r="J106" s="1">
        <f t="shared" si="12"/>
        <v>7888.68</v>
      </c>
      <c r="K106" s="1">
        <v>318.82</v>
      </c>
      <c r="L106" s="1">
        <f t="shared" si="13"/>
        <v>15.9214</v>
      </c>
      <c r="M106" s="1">
        <v>7.9607000000000001</v>
      </c>
      <c r="N106" s="1">
        <v>319.14</v>
      </c>
      <c r="O106" s="1">
        <v>324.37</v>
      </c>
      <c r="P106" s="1">
        <v>318.82</v>
      </c>
    </row>
    <row r="107" spans="1:16">
      <c r="A107" s="1">
        <v>5</v>
      </c>
      <c r="B107" s="1">
        <v>0.05</v>
      </c>
      <c r="C107" s="1">
        <v>0.3</v>
      </c>
      <c r="D107" s="1">
        <v>1.0885</v>
      </c>
      <c r="F107" s="1">
        <v>293.72000000000003</v>
      </c>
      <c r="G107" s="1">
        <v>303.10000000000002</v>
      </c>
      <c r="H107" s="1">
        <v>9421.6</v>
      </c>
      <c r="I107" s="1">
        <v>747.66</v>
      </c>
      <c r="J107" s="1">
        <f t="shared" si="12"/>
        <v>8673.94</v>
      </c>
      <c r="K107" s="1">
        <v>317.76</v>
      </c>
      <c r="L107" s="1">
        <f t="shared" si="13"/>
        <v>15.964399999999999</v>
      </c>
      <c r="M107" s="1">
        <v>7.9821999999999997</v>
      </c>
      <c r="N107" s="1">
        <v>318.08</v>
      </c>
      <c r="O107" s="1">
        <v>323.01</v>
      </c>
      <c r="P107" s="1">
        <v>317.76</v>
      </c>
    </row>
    <row r="108" spans="1:16">
      <c r="A108" s="1">
        <v>5</v>
      </c>
      <c r="B108" s="1">
        <v>0.05</v>
      </c>
      <c r="C108" s="1">
        <v>0.3</v>
      </c>
      <c r="D108" s="1">
        <v>1.1662999999999999</v>
      </c>
      <c r="F108" s="1">
        <v>293.67</v>
      </c>
      <c r="G108" s="1">
        <v>302.52</v>
      </c>
      <c r="H108" s="1">
        <v>10295</v>
      </c>
      <c r="I108" s="1">
        <v>805.77</v>
      </c>
      <c r="J108" s="1">
        <f t="shared" si="12"/>
        <v>9489.23</v>
      </c>
      <c r="K108" s="1">
        <v>316.83</v>
      </c>
      <c r="L108" s="1">
        <f t="shared" si="13"/>
        <v>16.006599999999999</v>
      </c>
      <c r="M108" s="1">
        <v>8.0032999999999994</v>
      </c>
      <c r="N108" s="1">
        <v>317.14</v>
      </c>
      <c r="O108" s="1">
        <v>321.83</v>
      </c>
      <c r="P108" s="1">
        <v>316.83</v>
      </c>
    </row>
    <row r="109" spans="1:16">
      <c r="A109" s="1">
        <v>5</v>
      </c>
      <c r="B109" s="1">
        <v>0.05</v>
      </c>
      <c r="C109" s="1">
        <v>0.3</v>
      </c>
      <c r="D109" s="1">
        <v>1.244</v>
      </c>
      <c r="F109" s="1">
        <v>293.63</v>
      </c>
      <c r="G109" s="1">
        <v>301.92</v>
      </c>
      <c r="H109" s="1">
        <v>11193</v>
      </c>
      <c r="I109" s="1">
        <v>864.36</v>
      </c>
      <c r="J109" s="1">
        <f t="shared" si="12"/>
        <v>10328.64</v>
      </c>
      <c r="K109" s="1">
        <v>315.94</v>
      </c>
      <c r="L109" s="1">
        <f t="shared" si="13"/>
        <v>16.046399999999998</v>
      </c>
      <c r="M109" s="1">
        <v>8.0231999999999992</v>
      </c>
      <c r="N109" s="1">
        <v>316.26</v>
      </c>
      <c r="O109" s="1">
        <v>320.69</v>
      </c>
      <c r="P109" s="1">
        <v>315.94</v>
      </c>
    </row>
    <row r="110" spans="1:16">
      <c r="A110" s="1">
        <v>5</v>
      </c>
      <c r="B110" s="1">
        <v>0.1</v>
      </c>
      <c r="C110" s="1">
        <v>0.3</v>
      </c>
      <c r="D110" s="1">
        <v>0.38879999999999998</v>
      </c>
      <c r="F110" s="1">
        <v>294.81</v>
      </c>
      <c r="G110" s="1">
        <v>321.35000000000002</v>
      </c>
      <c r="H110" s="1">
        <v>2738.8</v>
      </c>
      <c r="I110" s="1">
        <v>223.38</v>
      </c>
      <c r="J110" s="1">
        <f t="shared" ref="J110:J121" si="14">H110-I110</f>
        <v>2515.42</v>
      </c>
      <c r="K110" s="1">
        <v>330.61</v>
      </c>
      <c r="L110" s="1">
        <f t="shared" ref="L110:L121" si="15">M110*2</f>
        <v>16.749600000000001</v>
      </c>
      <c r="M110" s="1">
        <v>8.3748000000000005</v>
      </c>
      <c r="N110" s="1">
        <v>331.19</v>
      </c>
      <c r="O110" s="1">
        <v>341.85</v>
      </c>
      <c r="P110" s="1">
        <v>330.61</v>
      </c>
    </row>
    <row r="111" spans="1:16">
      <c r="A111" s="1">
        <v>5</v>
      </c>
      <c r="B111" s="1">
        <v>0.1</v>
      </c>
      <c r="C111" s="1">
        <v>0.3</v>
      </c>
      <c r="D111" s="1">
        <v>0.46650000000000003</v>
      </c>
      <c r="F111" s="1">
        <v>294.45</v>
      </c>
      <c r="G111" s="1">
        <v>316.58999999999997</v>
      </c>
      <c r="H111" s="1">
        <v>3377.7</v>
      </c>
      <c r="I111" s="1">
        <v>262.79000000000002</v>
      </c>
      <c r="J111" s="1">
        <f t="shared" si="14"/>
        <v>3114.91</v>
      </c>
      <c r="K111" s="1">
        <v>326.05</v>
      </c>
      <c r="L111" s="1">
        <f t="shared" si="15"/>
        <v>16.767199999999999</v>
      </c>
      <c r="M111" s="1">
        <v>8.3835999999999995</v>
      </c>
      <c r="N111" s="1">
        <v>326.62</v>
      </c>
      <c r="O111" s="1">
        <v>335.59</v>
      </c>
      <c r="P111" s="1">
        <v>326.05</v>
      </c>
    </row>
    <row r="112" spans="1:16">
      <c r="A112" s="1">
        <v>5</v>
      </c>
      <c r="B112" s="1">
        <v>0.1</v>
      </c>
      <c r="C112" s="1">
        <v>0.3</v>
      </c>
      <c r="D112" s="1">
        <v>0.54430000000000001</v>
      </c>
      <c r="F112" s="1">
        <v>294.2</v>
      </c>
      <c r="G112" s="1">
        <v>313.17</v>
      </c>
      <c r="H112" s="1">
        <v>4043.4</v>
      </c>
      <c r="I112" s="1">
        <v>300.74</v>
      </c>
      <c r="J112" s="1">
        <f t="shared" si="14"/>
        <v>3742.66</v>
      </c>
      <c r="K112" s="1">
        <v>322.58999999999997</v>
      </c>
      <c r="L112" s="1">
        <f t="shared" si="15"/>
        <v>16.796399999999998</v>
      </c>
      <c r="M112" s="1">
        <v>8.3981999999999992</v>
      </c>
      <c r="N112" s="1">
        <v>323.14999999999998</v>
      </c>
      <c r="O112" s="1">
        <v>330.88</v>
      </c>
      <c r="P112" s="1">
        <v>322.58999999999997</v>
      </c>
    </row>
    <row r="113" spans="1:16">
      <c r="A113" s="1">
        <v>5</v>
      </c>
      <c r="B113" s="1">
        <v>0.1</v>
      </c>
      <c r="C113" s="1">
        <v>0.3</v>
      </c>
      <c r="D113" s="1">
        <v>0.622</v>
      </c>
      <c r="F113" s="1">
        <v>294.02999999999997</v>
      </c>
      <c r="G113" s="1">
        <v>310.60000000000002</v>
      </c>
      <c r="H113" s="1">
        <v>4734.3</v>
      </c>
      <c r="I113" s="1">
        <v>337.01</v>
      </c>
      <c r="J113" s="1">
        <f t="shared" si="14"/>
        <v>4397.29</v>
      </c>
      <c r="K113" s="1">
        <v>319.85000000000002</v>
      </c>
      <c r="L113" s="1">
        <f t="shared" si="15"/>
        <v>16.8324</v>
      </c>
      <c r="M113" s="1">
        <v>8.4161999999999999</v>
      </c>
      <c r="N113" s="1">
        <v>320.39999999999998</v>
      </c>
      <c r="O113" s="1">
        <v>327.18</v>
      </c>
      <c r="P113" s="1">
        <v>319.85000000000002</v>
      </c>
    </row>
    <row r="114" spans="1:16">
      <c r="A114" s="1">
        <v>5</v>
      </c>
      <c r="B114" s="1">
        <v>0.1</v>
      </c>
      <c r="C114" s="1">
        <v>0.3</v>
      </c>
      <c r="D114" s="1">
        <v>0.69979999999999998</v>
      </c>
      <c r="F114" s="1">
        <v>293.89999999999998</v>
      </c>
      <c r="G114" s="1">
        <v>308.58999999999997</v>
      </c>
      <c r="H114" s="1">
        <v>5451.9</v>
      </c>
      <c r="I114" s="1">
        <v>371.61</v>
      </c>
      <c r="J114" s="1">
        <f t="shared" si="14"/>
        <v>5080.29</v>
      </c>
      <c r="K114" s="1">
        <v>317.62</v>
      </c>
      <c r="L114" s="1">
        <f t="shared" si="15"/>
        <v>16.872800000000002</v>
      </c>
      <c r="M114" s="1">
        <v>8.4364000000000008</v>
      </c>
      <c r="N114" s="1">
        <v>318.16000000000003</v>
      </c>
      <c r="O114" s="1">
        <v>324.18</v>
      </c>
      <c r="P114" s="1">
        <v>317.62</v>
      </c>
    </row>
    <row r="115" spans="1:16">
      <c r="A115" s="1">
        <v>5</v>
      </c>
      <c r="B115" s="1">
        <v>0.1</v>
      </c>
      <c r="C115" s="1">
        <v>0.3</v>
      </c>
      <c r="D115" s="1">
        <v>0.77749999999999997</v>
      </c>
      <c r="F115" s="1">
        <v>293.8</v>
      </c>
      <c r="G115" s="1">
        <v>306.97000000000003</v>
      </c>
      <c r="H115" s="1">
        <v>6194.7</v>
      </c>
      <c r="I115" s="1">
        <v>404.42</v>
      </c>
      <c r="J115" s="1">
        <f t="shared" si="14"/>
        <v>5790.28</v>
      </c>
      <c r="K115" s="1">
        <v>315.76</v>
      </c>
      <c r="L115" s="1">
        <f t="shared" si="15"/>
        <v>16.9178</v>
      </c>
      <c r="M115" s="1">
        <v>8.4588999999999999</v>
      </c>
      <c r="N115" s="1">
        <v>316.29000000000002</v>
      </c>
      <c r="O115" s="1">
        <v>321.68</v>
      </c>
      <c r="P115" s="1">
        <v>315.76</v>
      </c>
    </row>
    <row r="116" spans="1:16">
      <c r="A116" s="1">
        <v>5</v>
      </c>
      <c r="B116" s="1">
        <v>0.1</v>
      </c>
      <c r="C116" s="1">
        <v>0.3</v>
      </c>
      <c r="D116" s="1">
        <v>0.85529999999999995</v>
      </c>
      <c r="F116" s="1">
        <v>293.72000000000003</v>
      </c>
      <c r="G116" s="1">
        <v>305.91000000000003</v>
      </c>
      <c r="H116" s="1">
        <v>6962.2</v>
      </c>
      <c r="I116" s="1">
        <v>435.1</v>
      </c>
      <c r="J116" s="1">
        <f t="shared" si="14"/>
        <v>6527.0999999999995</v>
      </c>
      <c r="K116" s="1">
        <v>314.25</v>
      </c>
      <c r="L116" s="1">
        <f t="shared" si="15"/>
        <v>16.962800000000001</v>
      </c>
      <c r="M116" s="1">
        <v>8.4814000000000007</v>
      </c>
      <c r="N116" s="1">
        <v>314.77999999999997</v>
      </c>
      <c r="O116" s="1">
        <v>319.76</v>
      </c>
      <c r="P116" s="1">
        <v>314.25</v>
      </c>
    </row>
    <row r="117" spans="1:16">
      <c r="A117" s="1">
        <v>5</v>
      </c>
      <c r="B117" s="1">
        <v>0.1</v>
      </c>
      <c r="C117" s="1">
        <v>0.3</v>
      </c>
      <c r="D117" s="1">
        <v>0.93300000000000005</v>
      </c>
      <c r="F117" s="1">
        <v>293.66000000000003</v>
      </c>
      <c r="G117" s="1">
        <v>304.81</v>
      </c>
      <c r="H117" s="1">
        <v>7756.5</v>
      </c>
      <c r="I117" s="1">
        <v>464.13</v>
      </c>
      <c r="J117" s="1">
        <f t="shared" si="14"/>
        <v>7292.37</v>
      </c>
      <c r="K117" s="1">
        <v>312.91000000000003</v>
      </c>
      <c r="L117" s="1">
        <f t="shared" si="15"/>
        <v>17.0016</v>
      </c>
      <c r="M117" s="1">
        <v>8.5007999999999999</v>
      </c>
      <c r="N117" s="1">
        <v>313.42</v>
      </c>
      <c r="O117" s="1">
        <v>317.99</v>
      </c>
      <c r="P117" s="1">
        <v>312.91000000000003</v>
      </c>
    </row>
    <row r="118" spans="1:16">
      <c r="A118" s="1">
        <v>5</v>
      </c>
      <c r="B118" s="1">
        <v>0.1</v>
      </c>
      <c r="C118" s="1">
        <v>0.3</v>
      </c>
      <c r="D118" s="1">
        <v>1.0107999999999999</v>
      </c>
      <c r="F118" s="1">
        <v>293.61</v>
      </c>
      <c r="G118" s="1">
        <v>303.87</v>
      </c>
      <c r="H118" s="1">
        <v>8578.1</v>
      </c>
      <c r="I118" s="1">
        <v>491.26</v>
      </c>
      <c r="J118" s="1">
        <f t="shared" si="14"/>
        <v>8086.84</v>
      </c>
      <c r="K118" s="1">
        <v>311.73</v>
      </c>
      <c r="L118" s="1">
        <f t="shared" si="15"/>
        <v>17.035399999999999</v>
      </c>
      <c r="M118" s="1">
        <v>8.5176999999999996</v>
      </c>
      <c r="N118" s="1">
        <v>312.24</v>
      </c>
      <c r="O118" s="1">
        <v>316.44</v>
      </c>
      <c r="P118" s="1">
        <v>311.73</v>
      </c>
    </row>
    <row r="119" spans="1:16">
      <c r="A119" s="1">
        <v>5</v>
      </c>
      <c r="B119" s="1">
        <v>0.1</v>
      </c>
      <c r="C119" s="1">
        <v>0.3</v>
      </c>
      <c r="D119" s="1">
        <v>1.0885</v>
      </c>
      <c r="F119" s="1">
        <v>293.56</v>
      </c>
      <c r="G119" s="1">
        <v>303.24</v>
      </c>
      <c r="H119" s="1">
        <v>9421.6</v>
      </c>
      <c r="I119" s="1">
        <v>515.85</v>
      </c>
      <c r="J119" s="1">
        <f t="shared" si="14"/>
        <v>8905.75</v>
      </c>
      <c r="K119" s="1">
        <v>310.73</v>
      </c>
      <c r="L119" s="1">
        <f t="shared" si="15"/>
        <v>17.069400000000002</v>
      </c>
      <c r="M119" s="1">
        <v>8.5347000000000008</v>
      </c>
      <c r="N119" s="1">
        <v>311.24</v>
      </c>
      <c r="O119" s="1">
        <v>315.19</v>
      </c>
      <c r="P119" s="1">
        <v>310.73</v>
      </c>
    </row>
    <row r="120" spans="1:16">
      <c r="A120" s="1">
        <v>5</v>
      </c>
      <c r="B120" s="1">
        <v>0.1</v>
      </c>
      <c r="C120" s="1">
        <v>0.3</v>
      </c>
      <c r="D120" s="1">
        <v>1.1662999999999999</v>
      </c>
      <c r="F120" s="1">
        <v>293.52999999999997</v>
      </c>
      <c r="G120" s="1">
        <v>302.54000000000002</v>
      </c>
      <c r="H120" s="1">
        <v>10295</v>
      </c>
      <c r="I120" s="1">
        <v>538.79</v>
      </c>
      <c r="J120" s="1">
        <f t="shared" si="14"/>
        <v>9756.2099999999991</v>
      </c>
      <c r="K120" s="1">
        <v>309.82</v>
      </c>
      <c r="L120" s="1">
        <f t="shared" si="15"/>
        <v>17.101199999999999</v>
      </c>
      <c r="M120" s="1">
        <v>8.5505999999999993</v>
      </c>
      <c r="N120" s="1">
        <v>310.32</v>
      </c>
      <c r="O120" s="1">
        <v>314.02</v>
      </c>
      <c r="P120" s="1">
        <v>309.82</v>
      </c>
    </row>
    <row r="121" spans="1:16">
      <c r="A121" s="1">
        <v>5</v>
      </c>
      <c r="B121" s="1">
        <v>0.1</v>
      </c>
      <c r="C121" s="1">
        <v>0.3</v>
      </c>
      <c r="D121" s="1">
        <v>1.244</v>
      </c>
      <c r="F121" s="1">
        <v>293.49</v>
      </c>
      <c r="G121" s="1">
        <v>301.94</v>
      </c>
      <c r="H121" s="1">
        <v>11193</v>
      </c>
      <c r="I121" s="1">
        <v>559.58000000000004</v>
      </c>
      <c r="J121" s="1">
        <f t="shared" si="14"/>
        <v>10633.42</v>
      </c>
      <c r="K121" s="1">
        <v>309.01</v>
      </c>
      <c r="L121" s="1">
        <f t="shared" si="15"/>
        <v>17.1264</v>
      </c>
      <c r="M121" s="1">
        <v>8.5632000000000001</v>
      </c>
      <c r="N121" s="1">
        <v>309.51</v>
      </c>
      <c r="O121" s="1">
        <v>312.97000000000003</v>
      </c>
      <c r="P121" s="1">
        <v>309.01</v>
      </c>
    </row>
    <row r="122" spans="1:16">
      <c r="A122" s="1">
        <v>5</v>
      </c>
      <c r="B122" s="1">
        <v>0.15</v>
      </c>
      <c r="C122" s="1">
        <v>0.3</v>
      </c>
      <c r="D122" s="1">
        <v>0.38879999999999998</v>
      </c>
      <c r="F122" s="1">
        <v>295.10000000000002</v>
      </c>
      <c r="G122" s="1">
        <v>321.2</v>
      </c>
      <c r="H122" s="1">
        <v>2975.4</v>
      </c>
      <c r="I122" s="1">
        <v>151.36000000000001</v>
      </c>
      <c r="J122" s="1">
        <f t="shared" ref="J122:J145" si="16">H122-I122</f>
        <v>2824.04</v>
      </c>
      <c r="K122" s="1">
        <v>334.64</v>
      </c>
      <c r="L122" s="1">
        <f t="shared" ref="L122:L145" si="17">M122*2</f>
        <v>17.799399999999999</v>
      </c>
      <c r="M122" s="1">
        <v>8.8996999999999993</v>
      </c>
      <c r="N122" s="1">
        <v>335.1</v>
      </c>
      <c r="O122" s="1">
        <v>344.82</v>
      </c>
      <c r="P122" s="1">
        <v>334.64</v>
      </c>
    </row>
    <row r="123" spans="1:16">
      <c r="A123" s="1">
        <v>5</v>
      </c>
      <c r="B123" s="1">
        <v>0.15</v>
      </c>
      <c r="C123" s="1">
        <v>0.3</v>
      </c>
      <c r="D123" s="1">
        <v>0.46650000000000003</v>
      </c>
      <c r="F123" s="1">
        <v>294.64999999999998</v>
      </c>
      <c r="G123" s="1">
        <v>316.41000000000003</v>
      </c>
      <c r="H123" s="1">
        <v>3714.8</v>
      </c>
      <c r="I123" s="1">
        <v>156.38999999999999</v>
      </c>
      <c r="J123" s="1">
        <f t="shared" si="16"/>
        <v>3558.4100000000003</v>
      </c>
      <c r="K123" s="1">
        <v>328.44</v>
      </c>
      <c r="L123" s="1">
        <f t="shared" si="17"/>
        <v>17.950600000000001</v>
      </c>
      <c r="M123" s="1">
        <v>8.9753000000000007</v>
      </c>
      <c r="N123" s="1">
        <v>328.88</v>
      </c>
      <c r="O123" s="1">
        <v>336.67</v>
      </c>
      <c r="P123" s="1">
        <v>328.44</v>
      </c>
    </row>
    <row r="124" spans="1:16">
      <c r="A124" s="1">
        <v>5</v>
      </c>
      <c r="B124" s="1">
        <v>0.15</v>
      </c>
      <c r="C124" s="1">
        <v>0.3</v>
      </c>
      <c r="D124" s="1">
        <v>0.54430000000000001</v>
      </c>
      <c r="F124" s="1">
        <v>294.35000000000002</v>
      </c>
      <c r="G124" s="1">
        <v>312.89999999999998</v>
      </c>
      <c r="H124" s="1">
        <v>4511.2</v>
      </c>
      <c r="I124" s="1">
        <v>155.55000000000001</v>
      </c>
      <c r="J124" s="1">
        <f t="shared" si="16"/>
        <v>4355.6499999999996</v>
      </c>
      <c r="K124" s="1">
        <v>323.7</v>
      </c>
      <c r="L124" s="1">
        <f t="shared" si="17"/>
        <v>18.0838</v>
      </c>
      <c r="M124" s="1">
        <v>9.0419</v>
      </c>
      <c r="N124" s="1">
        <v>324.12</v>
      </c>
      <c r="O124" s="1">
        <v>330.52</v>
      </c>
      <c r="P124" s="1">
        <v>323.7</v>
      </c>
    </row>
    <row r="125" spans="1:16">
      <c r="A125" s="1">
        <v>5</v>
      </c>
      <c r="B125" s="1">
        <v>0.15</v>
      </c>
      <c r="C125" s="1">
        <v>0.3</v>
      </c>
      <c r="D125" s="1">
        <v>0.622</v>
      </c>
      <c r="F125" s="1">
        <v>294.14</v>
      </c>
      <c r="G125" s="1">
        <v>310.58999999999997</v>
      </c>
      <c r="H125" s="1">
        <v>5367</v>
      </c>
      <c r="I125" s="1">
        <v>150.44</v>
      </c>
      <c r="J125" s="1">
        <f t="shared" si="16"/>
        <v>5216.5600000000004</v>
      </c>
      <c r="K125" s="1">
        <v>320.16000000000003</v>
      </c>
      <c r="L125" s="1">
        <f t="shared" si="17"/>
        <v>18.202400000000001</v>
      </c>
      <c r="M125" s="1">
        <v>9.1012000000000004</v>
      </c>
      <c r="N125" s="1">
        <v>320.57</v>
      </c>
      <c r="O125" s="1">
        <v>326.08999999999997</v>
      </c>
      <c r="P125" s="1">
        <v>320.16000000000003</v>
      </c>
    </row>
    <row r="126" spans="1:16">
      <c r="A126" s="1">
        <v>5</v>
      </c>
      <c r="B126" s="1">
        <v>0.15</v>
      </c>
      <c r="C126" s="1">
        <v>0.3</v>
      </c>
      <c r="D126" s="1">
        <v>0.69979999999999998</v>
      </c>
      <c r="F126" s="1">
        <v>293.98</v>
      </c>
      <c r="G126" s="1">
        <v>308.89</v>
      </c>
      <c r="H126" s="1">
        <v>6288.3</v>
      </c>
      <c r="I126" s="1">
        <v>143.11000000000001</v>
      </c>
      <c r="J126" s="1">
        <f t="shared" si="16"/>
        <v>6145.1900000000005</v>
      </c>
      <c r="K126" s="1">
        <v>317.44</v>
      </c>
      <c r="L126" s="1">
        <f t="shared" si="17"/>
        <v>18.298999999999999</v>
      </c>
      <c r="M126" s="1">
        <v>9.1494999999999997</v>
      </c>
      <c r="N126" s="1">
        <v>317.85000000000002</v>
      </c>
      <c r="O126" s="1">
        <v>322.79000000000002</v>
      </c>
      <c r="P126" s="1">
        <v>317.44</v>
      </c>
    </row>
    <row r="127" spans="1:16">
      <c r="A127" s="1">
        <v>5</v>
      </c>
      <c r="B127" s="1">
        <v>0.15</v>
      </c>
      <c r="C127" s="1">
        <v>0.3</v>
      </c>
      <c r="D127" s="1">
        <v>0.77749999999999997</v>
      </c>
      <c r="F127" s="1">
        <v>293.86</v>
      </c>
      <c r="G127" s="1">
        <v>307.33</v>
      </c>
      <c r="H127" s="1">
        <v>7272.7</v>
      </c>
      <c r="I127" s="1">
        <v>134.47999999999999</v>
      </c>
      <c r="J127" s="1">
        <f t="shared" si="16"/>
        <v>7138.22</v>
      </c>
      <c r="K127" s="1">
        <v>315.26</v>
      </c>
      <c r="L127" s="1">
        <f t="shared" si="17"/>
        <v>18.367000000000001</v>
      </c>
      <c r="M127" s="1">
        <v>9.1835000000000004</v>
      </c>
      <c r="N127" s="1">
        <v>315.66000000000003</v>
      </c>
      <c r="O127" s="1">
        <v>320.12</v>
      </c>
      <c r="P127" s="1">
        <v>315.26</v>
      </c>
    </row>
    <row r="128" spans="1:16">
      <c r="A128" s="1">
        <v>5</v>
      </c>
      <c r="B128" s="1">
        <v>0.15</v>
      </c>
      <c r="C128" s="1">
        <v>0.3</v>
      </c>
      <c r="D128" s="1">
        <v>0.85529999999999995</v>
      </c>
      <c r="F128" s="1">
        <v>293.77</v>
      </c>
      <c r="G128" s="1">
        <v>306.06</v>
      </c>
      <c r="H128" s="1">
        <v>8317.9</v>
      </c>
      <c r="I128" s="1">
        <v>124.36</v>
      </c>
      <c r="J128" s="1">
        <f t="shared" si="16"/>
        <v>8193.5399999999991</v>
      </c>
      <c r="K128" s="1">
        <v>313.52</v>
      </c>
      <c r="L128" s="1">
        <f t="shared" si="17"/>
        <v>18.418600000000001</v>
      </c>
      <c r="M128" s="1">
        <v>9.2093000000000007</v>
      </c>
      <c r="N128" s="1">
        <v>313.92</v>
      </c>
      <c r="O128" s="1">
        <v>318.05</v>
      </c>
      <c r="P128" s="1">
        <v>313.52</v>
      </c>
    </row>
    <row r="129" spans="1:16">
      <c r="A129" s="1">
        <v>5</v>
      </c>
      <c r="B129" s="1">
        <v>0.15</v>
      </c>
      <c r="C129" s="1">
        <v>0.3</v>
      </c>
      <c r="D129" s="1">
        <v>0.93300000000000005</v>
      </c>
      <c r="F129" s="1">
        <v>293.7</v>
      </c>
      <c r="G129" s="1">
        <v>304.97000000000003</v>
      </c>
      <c r="H129" s="1">
        <v>9413.9</v>
      </c>
      <c r="I129" s="1">
        <v>110.08</v>
      </c>
      <c r="J129" s="1">
        <f t="shared" si="16"/>
        <v>9303.82</v>
      </c>
      <c r="K129" s="1">
        <v>312.13</v>
      </c>
      <c r="L129" s="1">
        <f t="shared" si="17"/>
        <v>18.458200000000001</v>
      </c>
      <c r="M129" s="1">
        <v>9.2291000000000007</v>
      </c>
      <c r="N129" s="1">
        <v>312.52999999999997</v>
      </c>
      <c r="O129" s="1">
        <v>316.39</v>
      </c>
      <c r="P129" s="1">
        <v>312.13</v>
      </c>
    </row>
    <row r="130" spans="1:16">
      <c r="A130" s="1">
        <v>5</v>
      </c>
      <c r="B130" s="1">
        <v>0.15</v>
      </c>
      <c r="C130" s="1">
        <v>0.3</v>
      </c>
      <c r="D130" s="1">
        <v>1.0107999999999999</v>
      </c>
      <c r="F130" s="1">
        <v>293.64</v>
      </c>
      <c r="G130" s="1">
        <v>304.08999999999997</v>
      </c>
      <c r="H130" s="1">
        <v>10556</v>
      </c>
      <c r="I130" s="1">
        <v>89.302999999999997</v>
      </c>
      <c r="J130" s="1">
        <f t="shared" si="16"/>
        <v>10466.697</v>
      </c>
      <c r="K130" s="1">
        <v>311</v>
      </c>
      <c r="L130" s="1">
        <f t="shared" si="17"/>
        <v>18.491</v>
      </c>
      <c r="M130" s="1">
        <v>9.2454999999999998</v>
      </c>
      <c r="N130" s="1">
        <v>311.39999999999998</v>
      </c>
      <c r="O130" s="1">
        <v>315.07</v>
      </c>
      <c r="P130" s="1">
        <v>311</v>
      </c>
    </row>
    <row r="131" spans="1:16">
      <c r="A131" s="1">
        <v>5</v>
      </c>
      <c r="B131" s="1">
        <v>0.15</v>
      </c>
      <c r="C131" s="1">
        <v>0.3</v>
      </c>
      <c r="D131" s="1">
        <v>1.0885</v>
      </c>
      <c r="F131" s="1">
        <v>293.58999999999997</v>
      </c>
      <c r="G131" s="1">
        <v>303.29000000000002</v>
      </c>
      <c r="H131" s="1">
        <v>11735</v>
      </c>
      <c r="I131" s="1">
        <v>61.018999999999998</v>
      </c>
      <c r="J131" s="1">
        <f t="shared" si="16"/>
        <v>11673.981</v>
      </c>
      <c r="K131" s="1">
        <v>310.05</v>
      </c>
      <c r="L131" s="1">
        <f t="shared" si="17"/>
        <v>18.518799999999999</v>
      </c>
      <c r="M131" s="1">
        <v>9.2593999999999994</v>
      </c>
      <c r="N131" s="1">
        <v>310.45</v>
      </c>
      <c r="O131" s="1">
        <v>313.93</v>
      </c>
      <c r="P131" s="1">
        <v>310.05</v>
      </c>
    </row>
    <row r="132" spans="1:16">
      <c r="A132" s="1">
        <v>5</v>
      </c>
      <c r="B132" s="1">
        <v>0.15</v>
      </c>
      <c r="C132" s="1">
        <v>0.3</v>
      </c>
      <c r="D132" s="1">
        <v>1.1662999999999999</v>
      </c>
      <c r="F132" s="1">
        <v>293.55</v>
      </c>
      <c r="G132" s="1">
        <v>302.70999999999998</v>
      </c>
      <c r="H132" s="1">
        <v>12958</v>
      </c>
      <c r="I132" s="1">
        <v>27.131</v>
      </c>
      <c r="J132" s="1">
        <f t="shared" si="16"/>
        <v>12930.869000000001</v>
      </c>
      <c r="K132" s="1">
        <v>309.27999999999997</v>
      </c>
      <c r="L132" s="1">
        <f t="shared" si="17"/>
        <v>18.548999999999999</v>
      </c>
      <c r="M132" s="1">
        <v>9.2744999999999997</v>
      </c>
      <c r="N132" s="1">
        <v>309.67</v>
      </c>
      <c r="O132" s="1">
        <v>313.05</v>
      </c>
      <c r="P132" s="1">
        <v>309.27999999999997</v>
      </c>
    </row>
    <row r="133" spans="1:16">
      <c r="A133" s="1">
        <v>5</v>
      </c>
      <c r="B133" s="1">
        <v>0.15</v>
      </c>
      <c r="C133" s="1">
        <v>0.3</v>
      </c>
      <c r="D133" s="1">
        <v>1.244</v>
      </c>
      <c r="F133" s="1">
        <v>293.51</v>
      </c>
      <c r="G133" s="1">
        <v>302.05</v>
      </c>
      <c r="H133" s="1">
        <v>14227</v>
      </c>
      <c r="I133" s="1">
        <v>-12.509</v>
      </c>
      <c r="J133" s="1">
        <f t="shared" si="16"/>
        <v>14239.509</v>
      </c>
      <c r="K133" s="1">
        <v>308.55</v>
      </c>
      <c r="L133" s="1">
        <f t="shared" si="17"/>
        <v>18.5748</v>
      </c>
      <c r="M133" s="1">
        <v>9.2873999999999999</v>
      </c>
      <c r="N133" s="1">
        <v>308.94</v>
      </c>
      <c r="O133" s="1">
        <v>312.12</v>
      </c>
      <c r="P133" s="1">
        <v>308.55</v>
      </c>
    </row>
    <row r="134" spans="1:16">
      <c r="A134" s="1">
        <v>5</v>
      </c>
      <c r="B134" s="1">
        <v>0.2</v>
      </c>
      <c r="C134" s="1">
        <v>0.3</v>
      </c>
      <c r="D134" s="1">
        <v>0.38879999999999998</v>
      </c>
      <c r="F134" s="1">
        <v>294.62</v>
      </c>
      <c r="G134" s="1">
        <v>321.3</v>
      </c>
      <c r="H134" s="1">
        <v>3709.1</v>
      </c>
      <c r="I134" s="1">
        <v>169.35</v>
      </c>
      <c r="J134" s="1">
        <f t="shared" si="16"/>
        <v>3539.75</v>
      </c>
      <c r="K134" s="1">
        <v>325.23</v>
      </c>
      <c r="L134" s="1">
        <f t="shared" si="17"/>
        <v>18.440799999999999</v>
      </c>
      <c r="M134" s="1">
        <v>9.2203999999999997</v>
      </c>
      <c r="N134" s="1">
        <v>325.82</v>
      </c>
      <c r="O134" s="1">
        <v>335.74</v>
      </c>
      <c r="P134" s="1">
        <v>325.23</v>
      </c>
    </row>
    <row r="135" spans="1:16">
      <c r="A135" s="1">
        <v>5</v>
      </c>
      <c r="B135" s="1">
        <v>0.2</v>
      </c>
      <c r="C135" s="1">
        <v>0.3</v>
      </c>
      <c r="D135" s="1">
        <v>0.46650000000000003</v>
      </c>
      <c r="F135" s="1">
        <v>294.29000000000002</v>
      </c>
      <c r="G135" s="1">
        <v>316.45</v>
      </c>
      <c r="H135" s="1">
        <v>4668.5</v>
      </c>
      <c r="I135" s="1">
        <v>184.83</v>
      </c>
      <c r="J135" s="1">
        <f t="shared" si="16"/>
        <v>4483.67</v>
      </c>
      <c r="K135" s="1">
        <v>320.58999999999997</v>
      </c>
      <c r="L135" s="1">
        <f t="shared" si="17"/>
        <v>18.536999999999999</v>
      </c>
      <c r="M135" s="1">
        <v>9.2684999999999995</v>
      </c>
      <c r="N135" s="1">
        <v>321.16000000000003</v>
      </c>
      <c r="O135" s="1">
        <v>329.36</v>
      </c>
      <c r="P135" s="1">
        <v>320.58999999999997</v>
      </c>
    </row>
    <row r="136" spans="1:16">
      <c r="A136" s="1">
        <v>5</v>
      </c>
      <c r="B136" s="1">
        <v>0.2</v>
      </c>
      <c r="C136" s="1">
        <v>0.3</v>
      </c>
      <c r="D136" s="1">
        <v>0.54430000000000001</v>
      </c>
      <c r="F136" s="1">
        <v>294.07</v>
      </c>
      <c r="G136" s="1">
        <v>313.31</v>
      </c>
      <c r="H136" s="1">
        <v>5697.7</v>
      </c>
      <c r="I136" s="1">
        <v>195.05</v>
      </c>
      <c r="J136" s="1">
        <f t="shared" si="16"/>
        <v>5502.65</v>
      </c>
      <c r="K136" s="1">
        <v>317.27</v>
      </c>
      <c r="L136" s="1">
        <f t="shared" si="17"/>
        <v>18.6266</v>
      </c>
      <c r="M136" s="1">
        <v>9.3132999999999999</v>
      </c>
      <c r="N136" s="1">
        <v>317.82</v>
      </c>
      <c r="O136" s="1">
        <v>324.95999999999998</v>
      </c>
      <c r="P136" s="1">
        <v>317.27</v>
      </c>
    </row>
    <row r="137" spans="1:16">
      <c r="A137" s="1">
        <v>5</v>
      </c>
      <c r="B137" s="1">
        <v>0.2</v>
      </c>
      <c r="C137" s="1">
        <v>0.3</v>
      </c>
      <c r="D137" s="1">
        <v>0.622</v>
      </c>
      <c r="F137" s="1">
        <v>293.91000000000003</v>
      </c>
      <c r="G137" s="1">
        <v>310.69</v>
      </c>
      <c r="H137" s="1">
        <v>6795.9</v>
      </c>
      <c r="I137" s="1">
        <v>200.29</v>
      </c>
      <c r="J137" s="1">
        <f t="shared" si="16"/>
        <v>6595.61</v>
      </c>
      <c r="K137" s="1">
        <v>314.64999999999998</v>
      </c>
      <c r="L137" s="1">
        <f t="shared" si="17"/>
        <v>18.688400000000001</v>
      </c>
      <c r="M137" s="1">
        <v>9.3442000000000007</v>
      </c>
      <c r="N137" s="1">
        <v>315.18</v>
      </c>
      <c r="O137" s="1">
        <v>321.41000000000003</v>
      </c>
      <c r="P137" s="1">
        <v>314.64999999999998</v>
      </c>
    </row>
    <row r="138" spans="1:16">
      <c r="A138" s="1">
        <v>5</v>
      </c>
      <c r="B138" s="1">
        <v>0.2</v>
      </c>
      <c r="C138" s="1">
        <v>0.3</v>
      </c>
      <c r="D138" s="1">
        <v>0.69979999999999998</v>
      </c>
      <c r="F138" s="1">
        <v>293.79000000000002</v>
      </c>
      <c r="G138" s="1">
        <v>308.60000000000002</v>
      </c>
      <c r="H138" s="1">
        <v>7965.8</v>
      </c>
      <c r="I138" s="1">
        <v>200.4</v>
      </c>
      <c r="J138" s="1">
        <f t="shared" si="16"/>
        <v>7765.4000000000005</v>
      </c>
      <c r="K138" s="1">
        <v>312.58999999999997</v>
      </c>
      <c r="L138" s="1">
        <f t="shared" si="17"/>
        <v>18.747199999999999</v>
      </c>
      <c r="M138" s="1">
        <v>9.3735999999999997</v>
      </c>
      <c r="N138" s="1">
        <v>313.11</v>
      </c>
      <c r="O138" s="1">
        <v>318.64</v>
      </c>
      <c r="P138" s="1">
        <v>312.58999999999997</v>
      </c>
    </row>
    <row r="139" spans="1:16">
      <c r="A139" s="1">
        <v>5</v>
      </c>
      <c r="B139" s="1">
        <v>0.2</v>
      </c>
      <c r="C139" s="1">
        <v>0.3</v>
      </c>
      <c r="D139" s="1">
        <v>0.77749999999999997</v>
      </c>
      <c r="F139" s="1">
        <v>293.70999999999998</v>
      </c>
      <c r="G139" s="1">
        <v>307.22000000000003</v>
      </c>
      <c r="H139" s="1">
        <v>9201.4</v>
      </c>
      <c r="I139" s="1">
        <v>195</v>
      </c>
      <c r="J139" s="1">
        <f t="shared" si="16"/>
        <v>9006.4</v>
      </c>
      <c r="K139" s="1">
        <v>311.02</v>
      </c>
      <c r="L139" s="1">
        <f t="shared" si="17"/>
        <v>18.801200000000001</v>
      </c>
      <c r="M139" s="1">
        <v>9.4006000000000007</v>
      </c>
      <c r="N139" s="1">
        <v>311.54000000000002</v>
      </c>
      <c r="O139" s="1">
        <v>316.64</v>
      </c>
      <c r="P139" s="1">
        <v>311.02</v>
      </c>
    </row>
    <row r="140" spans="1:16">
      <c r="A140" s="1">
        <v>5</v>
      </c>
      <c r="B140" s="1">
        <v>0.2</v>
      </c>
      <c r="C140" s="1">
        <v>0.3</v>
      </c>
      <c r="D140" s="1">
        <v>0.85529999999999995</v>
      </c>
      <c r="F140" s="1">
        <v>293.64</v>
      </c>
      <c r="G140" s="1">
        <v>305.92</v>
      </c>
      <c r="H140" s="1">
        <v>10506</v>
      </c>
      <c r="I140" s="1">
        <v>184.02</v>
      </c>
      <c r="J140" s="1">
        <f t="shared" si="16"/>
        <v>10321.98</v>
      </c>
      <c r="K140" s="1">
        <v>309.7</v>
      </c>
      <c r="L140" s="1">
        <f t="shared" si="17"/>
        <v>18.8462</v>
      </c>
      <c r="M140" s="1">
        <v>9.4230999999999998</v>
      </c>
      <c r="N140" s="1">
        <v>310.20999999999998</v>
      </c>
      <c r="O140" s="1">
        <v>314.89</v>
      </c>
      <c r="P140" s="1">
        <v>309.7</v>
      </c>
    </row>
    <row r="141" spans="1:16">
      <c r="A141" s="1">
        <v>5</v>
      </c>
      <c r="B141" s="1">
        <v>0.2</v>
      </c>
      <c r="C141" s="1">
        <v>0.3</v>
      </c>
      <c r="D141" s="1">
        <v>0.93300000000000005</v>
      </c>
      <c r="F141" s="1">
        <v>293.58</v>
      </c>
      <c r="G141" s="1">
        <v>304.95999999999998</v>
      </c>
      <c r="H141" s="1">
        <v>11873</v>
      </c>
      <c r="I141" s="1">
        <v>166.86</v>
      </c>
      <c r="J141" s="1">
        <f t="shared" si="16"/>
        <v>11706.14</v>
      </c>
      <c r="K141" s="1">
        <v>308.62</v>
      </c>
      <c r="L141" s="1">
        <f t="shared" si="17"/>
        <v>18.880800000000001</v>
      </c>
      <c r="M141" s="1">
        <v>9.4404000000000003</v>
      </c>
      <c r="N141" s="1">
        <v>309.13</v>
      </c>
      <c r="O141" s="1">
        <v>313.51</v>
      </c>
      <c r="P141" s="1">
        <v>308.62</v>
      </c>
    </row>
    <row r="142" spans="1:16">
      <c r="A142" s="1">
        <v>5</v>
      </c>
      <c r="B142" s="1">
        <v>0.2</v>
      </c>
      <c r="C142" s="1">
        <v>0.3</v>
      </c>
      <c r="D142" s="1">
        <v>1.0107999999999999</v>
      </c>
      <c r="F142" s="1">
        <v>293.54000000000002</v>
      </c>
      <c r="G142" s="1">
        <v>304.05</v>
      </c>
      <c r="H142" s="1">
        <v>13306</v>
      </c>
      <c r="I142" s="1">
        <v>143.47999999999999</v>
      </c>
      <c r="J142" s="1">
        <f t="shared" si="16"/>
        <v>13162.52</v>
      </c>
      <c r="K142" s="1">
        <v>307.68</v>
      </c>
      <c r="L142" s="1">
        <f t="shared" si="17"/>
        <v>18.908999999999999</v>
      </c>
      <c r="M142" s="1">
        <v>9.4544999999999995</v>
      </c>
      <c r="N142" s="1">
        <v>308.19</v>
      </c>
      <c r="O142" s="1">
        <v>312.27999999999997</v>
      </c>
      <c r="P142" s="1">
        <v>307.68</v>
      </c>
    </row>
    <row r="143" spans="1:16">
      <c r="A143" s="1">
        <v>5</v>
      </c>
      <c r="B143" s="1">
        <v>0.2</v>
      </c>
      <c r="C143" s="1">
        <v>0.3</v>
      </c>
      <c r="D143" s="1">
        <v>1.0885</v>
      </c>
      <c r="F143" s="1">
        <v>293.5</v>
      </c>
      <c r="G143" s="1">
        <v>303.33</v>
      </c>
      <c r="H143" s="1">
        <v>14795</v>
      </c>
      <c r="I143" s="1">
        <v>113.25</v>
      </c>
      <c r="J143" s="1">
        <f t="shared" si="16"/>
        <v>14681.75</v>
      </c>
      <c r="K143" s="1">
        <v>306.89999999999998</v>
      </c>
      <c r="L143" s="1">
        <f t="shared" si="17"/>
        <v>18.936800000000002</v>
      </c>
      <c r="M143" s="1">
        <v>9.4684000000000008</v>
      </c>
      <c r="N143" s="1">
        <v>307.39999999999998</v>
      </c>
      <c r="O143" s="1">
        <v>311.27999999999997</v>
      </c>
      <c r="P143" s="1">
        <v>306.89999999999998</v>
      </c>
    </row>
    <row r="144" spans="1:16">
      <c r="A144" s="1">
        <v>5</v>
      </c>
      <c r="B144" s="1">
        <v>0.2</v>
      </c>
      <c r="C144" s="1">
        <v>0.3</v>
      </c>
      <c r="D144" s="1">
        <v>1.1662999999999999</v>
      </c>
      <c r="F144" s="1">
        <v>293.47000000000003</v>
      </c>
      <c r="G144" s="1">
        <v>302.69</v>
      </c>
      <c r="H144" s="1">
        <v>16345</v>
      </c>
      <c r="I144" s="1">
        <v>76.197000000000003</v>
      </c>
      <c r="J144" s="1">
        <f t="shared" si="16"/>
        <v>16268.803</v>
      </c>
      <c r="K144" s="1">
        <v>306.22000000000003</v>
      </c>
      <c r="L144" s="1">
        <f t="shared" si="17"/>
        <v>18.9664</v>
      </c>
      <c r="M144" s="1">
        <v>9.4832000000000001</v>
      </c>
      <c r="N144" s="1">
        <v>306.72000000000003</v>
      </c>
      <c r="O144" s="1">
        <v>310.39999999999998</v>
      </c>
      <c r="P144" s="1">
        <v>306.22000000000003</v>
      </c>
    </row>
    <row r="145" spans="1:16">
      <c r="A145" s="1">
        <v>5</v>
      </c>
      <c r="B145" s="1">
        <v>0.2</v>
      </c>
      <c r="C145" s="1">
        <v>0.3</v>
      </c>
      <c r="D145" s="1">
        <v>1.244</v>
      </c>
      <c r="F145" s="1">
        <v>293.44</v>
      </c>
      <c r="G145" s="1">
        <v>302.12</v>
      </c>
      <c r="H145" s="1">
        <v>17950</v>
      </c>
      <c r="I145" s="1">
        <v>32.582999999999998</v>
      </c>
      <c r="J145" s="1">
        <f t="shared" si="16"/>
        <v>17917.417000000001</v>
      </c>
      <c r="K145" s="1">
        <v>305.61</v>
      </c>
      <c r="L145" s="1">
        <f t="shared" si="17"/>
        <v>18.9742</v>
      </c>
      <c r="M145" s="1">
        <v>9.4870999999999999</v>
      </c>
      <c r="N145" s="1">
        <v>306.11</v>
      </c>
      <c r="O145" s="1">
        <v>309.61</v>
      </c>
      <c r="P145" s="1">
        <v>305.61</v>
      </c>
    </row>
    <row r="146" spans="1:16">
      <c r="A146" s="1">
        <v>3.57</v>
      </c>
      <c r="B146" s="1">
        <v>0.15</v>
      </c>
      <c r="C146" s="1">
        <v>0.3</v>
      </c>
      <c r="D146" s="1">
        <v>0.38879999999999998</v>
      </c>
      <c r="E146" s="1">
        <v>250</v>
      </c>
      <c r="F146" s="1">
        <v>294.55</v>
      </c>
      <c r="G146" s="1">
        <v>321.49</v>
      </c>
      <c r="H146" s="1">
        <v>4087.9</v>
      </c>
      <c r="I146" s="1">
        <v>172.3</v>
      </c>
      <c r="J146" s="1">
        <f>H146-I146</f>
        <v>3915.6</v>
      </c>
      <c r="K146" s="1">
        <v>323.18</v>
      </c>
      <c r="L146" s="1">
        <f>M146*2</f>
        <v>18.477799999999998</v>
      </c>
      <c r="M146" s="1">
        <v>9.2388999999999992</v>
      </c>
      <c r="N146" s="1">
        <v>323.69</v>
      </c>
      <c r="O146" s="1">
        <v>333.32</v>
      </c>
      <c r="P146" s="1">
        <v>323.18</v>
      </c>
    </row>
    <row r="147" spans="1:16">
      <c r="A147" s="1">
        <v>3.57</v>
      </c>
      <c r="B147" s="1">
        <v>0.15</v>
      </c>
      <c r="C147" s="1">
        <v>0.3</v>
      </c>
      <c r="D147" s="1">
        <v>0.46650000000000003</v>
      </c>
      <c r="E147" s="1">
        <v>300</v>
      </c>
      <c r="F147" s="1">
        <v>294.24</v>
      </c>
      <c r="G147" s="1">
        <v>316.67</v>
      </c>
      <c r="H147" s="1">
        <v>5179.2</v>
      </c>
      <c r="I147" s="1">
        <v>191.89</v>
      </c>
      <c r="J147" s="1">
        <f>H147-I147</f>
        <v>4987.3099999999995</v>
      </c>
      <c r="K147" s="1">
        <v>318.8</v>
      </c>
      <c r="L147" s="1">
        <f>M147*2</f>
        <v>18.571999999999999</v>
      </c>
      <c r="M147" s="1">
        <v>9.2859999999999996</v>
      </c>
      <c r="N147" s="1">
        <v>319.29000000000002</v>
      </c>
      <c r="O147" s="1">
        <v>327.29000000000002</v>
      </c>
      <c r="P147" s="1">
        <v>318.8</v>
      </c>
    </row>
    <row r="148" spans="1:16">
      <c r="A148" s="1">
        <v>3.57</v>
      </c>
      <c r="B148" s="1">
        <v>0.15</v>
      </c>
      <c r="C148" s="1">
        <v>0.3</v>
      </c>
      <c r="D148" s="1">
        <v>0.54430000000000001</v>
      </c>
      <c r="E148" s="1">
        <v>350</v>
      </c>
      <c r="F148" s="1">
        <v>294.02</v>
      </c>
      <c r="G148" s="1">
        <v>313.19</v>
      </c>
      <c r="H148" s="1">
        <v>6361</v>
      </c>
      <c r="I148" s="1">
        <v>208.85</v>
      </c>
      <c r="J148" s="1">
        <f t="shared" ref="J148:J169" si="18">H148-I148</f>
        <v>6152.15</v>
      </c>
      <c r="K148" s="1">
        <v>315.61</v>
      </c>
      <c r="L148" s="1">
        <f t="shared" ref="L148:L169" si="19">M148*2</f>
        <v>18.6526</v>
      </c>
      <c r="M148" s="1">
        <v>9.3262999999999998</v>
      </c>
      <c r="N148" s="1">
        <v>316.08</v>
      </c>
      <c r="O148" s="1">
        <v>322.94</v>
      </c>
      <c r="P148" s="1">
        <v>315.61</v>
      </c>
    </row>
    <row r="149" spans="1:16">
      <c r="A149" s="1">
        <v>3.57</v>
      </c>
      <c r="B149" s="1">
        <v>0.15</v>
      </c>
      <c r="C149" s="1">
        <v>0.3</v>
      </c>
      <c r="D149" s="1">
        <v>0.622</v>
      </c>
      <c r="E149" s="1">
        <v>400</v>
      </c>
      <c r="F149" s="1">
        <v>293.87</v>
      </c>
      <c r="G149" s="1">
        <v>310.52999999999997</v>
      </c>
      <c r="H149" s="1">
        <v>7628.6</v>
      </c>
      <c r="I149" s="1">
        <v>222.8</v>
      </c>
      <c r="J149" s="1">
        <f t="shared" si="18"/>
        <v>7405.8</v>
      </c>
      <c r="K149" s="1">
        <v>313.19</v>
      </c>
      <c r="L149" s="1">
        <f t="shared" si="19"/>
        <v>18.714400000000001</v>
      </c>
      <c r="M149" s="1">
        <v>9.3572000000000006</v>
      </c>
      <c r="N149" s="1">
        <v>313.66000000000003</v>
      </c>
      <c r="O149" s="1">
        <v>319.64</v>
      </c>
      <c r="P149" s="1">
        <v>313.19</v>
      </c>
    </row>
    <row r="150" spans="1:16">
      <c r="A150" s="1">
        <v>3.57</v>
      </c>
      <c r="B150" s="1">
        <v>0.15</v>
      </c>
      <c r="C150" s="1">
        <v>0.3</v>
      </c>
      <c r="D150" s="1">
        <v>0.69979999999999998</v>
      </c>
      <c r="E150" s="1">
        <v>450</v>
      </c>
      <c r="F150" s="1">
        <v>293.76</v>
      </c>
      <c r="G150" s="1">
        <v>308.95999999999998</v>
      </c>
      <c r="H150" s="1">
        <v>8981.4</v>
      </c>
      <c r="I150" s="1">
        <v>232.48</v>
      </c>
      <c r="J150" s="1">
        <f t="shared" si="18"/>
        <v>8748.92</v>
      </c>
      <c r="K150" s="1">
        <v>311.45999999999998</v>
      </c>
      <c r="L150" s="1">
        <f t="shared" si="19"/>
        <v>18.773199999999999</v>
      </c>
      <c r="M150" s="1">
        <v>9.3865999999999996</v>
      </c>
      <c r="N150" s="1">
        <v>311.92</v>
      </c>
      <c r="O150" s="1">
        <v>317.47000000000003</v>
      </c>
      <c r="P150" s="1">
        <v>311.45999999999998</v>
      </c>
    </row>
    <row r="151" spans="1:16">
      <c r="A151" s="1">
        <v>3.57</v>
      </c>
      <c r="B151" s="1">
        <v>0.15</v>
      </c>
      <c r="C151" s="1">
        <v>0.3</v>
      </c>
      <c r="D151" s="1">
        <v>0.77749999999999997</v>
      </c>
      <c r="E151" s="1">
        <v>500</v>
      </c>
      <c r="F151" s="1">
        <v>293.68</v>
      </c>
      <c r="G151" s="1">
        <v>307.41000000000003</v>
      </c>
      <c r="H151" s="1">
        <v>10417</v>
      </c>
      <c r="I151" s="1">
        <v>236.48</v>
      </c>
      <c r="J151" s="1">
        <f t="shared" si="18"/>
        <v>10180.52</v>
      </c>
      <c r="K151" s="1">
        <v>309.97000000000003</v>
      </c>
      <c r="L151" s="1">
        <f t="shared" si="19"/>
        <v>18.8262</v>
      </c>
      <c r="M151" s="1">
        <v>9.4131</v>
      </c>
      <c r="N151" s="1">
        <v>310.43</v>
      </c>
      <c r="O151" s="1">
        <v>315.48</v>
      </c>
      <c r="P151" s="1">
        <v>309.97000000000003</v>
      </c>
    </row>
    <row r="152" spans="1:16">
      <c r="A152" s="1">
        <v>3.57</v>
      </c>
      <c r="B152" s="1">
        <v>0.15</v>
      </c>
      <c r="C152" s="1">
        <v>0.3</v>
      </c>
      <c r="D152" s="1">
        <v>0.85529999999999995</v>
      </c>
      <c r="E152" s="1">
        <v>550</v>
      </c>
      <c r="F152" s="1">
        <v>293.61</v>
      </c>
      <c r="G152" s="1">
        <v>306.14999999999998</v>
      </c>
      <c r="H152" s="1">
        <v>11939</v>
      </c>
      <c r="I152" s="1">
        <v>233.83</v>
      </c>
      <c r="J152" s="1">
        <f t="shared" si="18"/>
        <v>11705.17</v>
      </c>
      <c r="K152" s="1">
        <v>308.75</v>
      </c>
      <c r="L152" s="1">
        <f t="shared" si="19"/>
        <v>18.866399999999999</v>
      </c>
      <c r="M152" s="1">
        <v>9.4331999999999994</v>
      </c>
      <c r="N152" s="1">
        <v>309.2</v>
      </c>
      <c r="O152" s="1">
        <v>313.85000000000002</v>
      </c>
      <c r="P152" s="1">
        <v>308.75</v>
      </c>
    </row>
    <row r="153" spans="1:16">
      <c r="A153" s="1">
        <v>3.57</v>
      </c>
      <c r="B153" s="1">
        <v>0.15</v>
      </c>
      <c r="C153" s="1">
        <v>0.3</v>
      </c>
      <c r="D153" s="1">
        <v>0.93300000000000005</v>
      </c>
      <c r="E153" s="1">
        <v>600</v>
      </c>
      <c r="F153" s="1">
        <v>293.56</v>
      </c>
      <c r="G153" s="1">
        <v>305.10000000000002</v>
      </c>
      <c r="H153" s="1">
        <v>13546</v>
      </c>
      <c r="I153" s="1">
        <v>224.19</v>
      </c>
      <c r="J153" s="1">
        <f t="shared" si="18"/>
        <v>13321.81</v>
      </c>
      <c r="K153" s="1">
        <v>307.72000000000003</v>
      </c>
      <c r="L153" s="1">
        <f t="shared" si="19"/>
        <v>18.8934</v>
      </c>
      <c r="M153" s="1">
        <v>9.4466999999999999</v>
      </c>
      <c r="N153" s="1">
        <v>308.17</v>
      </c>
      <c r="O153" s="1">
        <v>312.48</v>
      </c>
      <c r="P153" s="1">
        <v>307.72000000000003</v>
      </c>
    </row>
    <row r="154" spans="1:16">
      <c r="A154" s="1">
        <v>3.57</v>
      </c>
      <c r="B154" s="1">
        <v>0.15</v>
      </c>
      <c r="C154" s="1">
        <v>0.3</v>
      </c>
      <c r="D154" s="1">
        <v>1.0107999999999999</v>
      </c>
      <c r="E154" s="1">
        <v>650</v>
      </c>
      <c r="F154" s="1">
        <v>293.52</v>
      </c>
      <c r="G154" s="1">
        <v>304.2</v>
      </c>
      <c r="H154" s="1">
        <v>15240</v>
      </c>
      <c r="I154" s="1">
        <v>207.86</v>
      </c>
      <c r="J154" s="1">
        <f t="shared" si="18"/>
        <v>15032.14</v>
      </c>
      <c r="K154" s="1">
        <v>306.83999999999997</v>
      </c>
      <c r="L154" s="1">
        <f t="shared" si="19"/>
        <v>18.917000000000002</v>
      </c>
      <c r="M154" s="1">
        <v>9.4585000000000008</v>
      </c>
      <c r="N154" s="1">
        <v>307.3</v>
      </c>
      <c r="O154" s="1">
        <v>311.31</v>
      </c>
      <c r="P154" s="1">
        <v>306.83999999999997</v>
      </c>
    </row>
    <row r="155" spans="1:16">
      <c r="A155" s="1">
        <v>3.57</v>
      </c>
      <c r="B155" s="1">
        <v>0.15</v>
      </c>
      <c r="C155" s="1">
        <v>0.3</v>
      </c>
      <c r="D155" s="1">
        <v>1.0885</v>
      </c>
      <c r="E155" s="1">
        <v>700</v>
      </c>
      <c r="F155" s="1">
        <v>293.48</v>
      </c>
      <c r="G155" s="1">
        <v>303.43</v>
      </c>
      <c r="H155" s="1">
        <v>17016</v>
      </c>
      <c r="I155" s="1">
        <v>184.61</v>
      </c>
      <c r="J155" s="1">
        <f t="shared" si="18"/>
        <v>16831.39</v>
      </c>
      <c r="K155" s="1">
        <v>306.08999999999997</v>
      </c>
      <c r="L155" s="1">
        <f t="shared" si="19"/>
        <v>18.927399999999999</v>
      </c>
      <c r="M155" s="1">
        <v>9.4636999999999993</v>
      </c>
      <c r="N155" s="1">
        <v>306.55</v>
      </c>
      <c r="O155" s="1">
        <v>310.3</v>
      </c>
      <c r="P155" s="1">
        <v>306.08999999999997</v>
      </c>
    </row>
    <row r="156" spans="1:16">
      <c r="A156" s="1">
        <v>3.57</v>
      </c>
      <c r="B156" s="1">
        <v>0.15</v>
      </c>
      <c r="C156" s="1">
        <v>0.3</v>
      </c>
      <c r="D156" s="1">
        <v>1.1662999999999999</v>
      </c>
      <c r="E156" s="1">
        <v>750</v>
      </c>
      <c r="F156" s="1">
        <v>293.45</v>
      </c>
      <c r="G156" s="1">
        <v>302.76</v>
      </c>
      <c r="H156" s="1">
        <v>18873</v>
      </c>
      <c r="I156" s="1">
        <v>153.82</v>
      </c>
      <c r="J156" s="1">
        <f t="shared" si="18"/>
        <v>18719.18</v>
      </c>
      <c r="K156" s="1">
        <v>305.44</v>
      </c>
      <c r="L156" s="1">
        <f t="shared" si="19"/>
        <v>18.942599999999999</v>
      </c>
      <c r="M156" s="1">
        <v>9.4712999999999994</v>
      </c>
      <c r="N156" s="1">
        <v>305.89</v>
      </c>
      <c r="O156" s="1">
        <v>309.42</v>
      </c>
      <c r="P156" s="1">
        <v>305.44</v>
      </c>
    </row>
    <row r="157" spans="1:16">
      <c r="A157" s="1">
        <v>3.57</v>
      </c>
      <c r="B157" s="1">
        <v>0.15</v>
      </c>
      <c r="C157" s="1">
        <v>0.3</v>
      </c>
      <c r="D157" s="1">
        <v>1.244</v>
      </c>
      <c r="E157" s="1">
        <v>800</v>
      </c>
      <c r="F157" s="1">
        <v>293.43</v>
      </c>
      <c r="G157" s="1">
        <v>302.14</v>
      </c>
      <c r="H157" s="1">
        <v>20799</v>
      </c>
      <c r="I157" s="1">
        <v>115.42</v>
      </c>
      <c r="J157" s="1">
        <f t="shared" si="18"/>
        <v>20683.580000000002</v>
      </c>
      <c r="K157" s="1">
        <v>304.86</v>
      </c>
      <c r="L157" s="1">
        <f t="shared" si="19"/>
        <v>18.958600000000001</v>
      </c>
      <c r="M157" s="1">
        <v>9.4793000000000003</v>
      </c>
      <c r="N157" s="1">
        <v>305.31</v>
      </c>
      <c r="O157" s="1">
        <v>308.63</v>
      </c>
      <c r="P157" s="1">
        <v>304.86</v>
      </c>
    </row>
    <row r="158" spans="1:16">
      <c r="A158" s="1">
        <v>4.17</v>
      </c>
      <c r="B158" s="1">
        <v>0.15</v>
      </c>
      <c r="C158" s="1">
        <v>0.3</v>
      </c>
      <c r="D158" s="1">
        <v>0.38879999999999998</v>
      </c>
      <c r="E158" s="1">
        <v>250</v>
      </c>
      <c r="F158" s="1">
        <v>294.61</v>
      </c>
      <c r="G158" s="1">
        <v>321.22000000000003</v>
      </c>
      <c r="H158" s="1">
        <v>3890.9</v>
      </c>
      <c r="I158" s="1">
        <v>171.42</v>
      </c>
      <c r="J158" s="1">
        <f t="shared" si="18"/>
        <v>3719.48</v>
      </c>
      <c r="K158" s="1">
        <v>324.45999999999998</v>
      </c>
      <c r="L158" s="1">
        <f t="shared" si="19"/>
        <v>18.433</v>
      </c>
      <c r="M158" s="1">
        <v>9.2164999999999999</v>
      </c>
      <c r="N158" s="1">
        <v>325</v>
      </c>
      <c r="O158" s="1">
        <v>334.64</v>
      </c>
      <c r="P158" s="1">
        <v>324.45999999999998</v>
      </c>
    </row>
    <row r="159" spans="1:16">
      <c r="A159" s="1">
        <v>4.17</v>
      </c>
      <c r="B159" s="1">
        <v>0.15</v>
      </c>
      <c r="C159" s="1">
        <v>0.3</v>
      </c>
      <c r="D159" s="1">
        <v>0.46650000000000003</v>
      </c>
      <c r="E159" s="1">
        <v>300</v>
      </c>
      <c r="F159" s="1">
        <v>294.27999999999997</v>
      </c>
      <c r="G159" s="1">
        <v>316.63</v>
      </c>
      <c r="H159" s="1">
        <v>4904.8999999999996</v>
      </c>
      <c r="I159" s="1">
        <v>189.3</v>
      </c>
      <c r="J159" s="1">
        <f t="shared" si="18"/>
        <v>4715.5999999999995</v>
      </c>
      <c r="K159" s="1">
        <v>320.05</v>
      </c>
      <c r="L159" s="1">
        <f t="shared" si="19"/>
        <v>18.5242</v>
      </c>
      <c r="M159" s="1">
        <v>9.2621000000000002</v>
      </c>
      <c r="N159" s="1">
        <v>320.57</v>
      </c>
      <c r="O159" s="1">
        <v>328.64</v>
      </c>
      <c r="P159" s="1">
        <v>320.05</v>
      </c>
    </row>
    <row r="160" spans="1:16">
      <c r="A160" s="1">
        <v>4.17</v>
      </c>
      <c r="B160" s="1">
        <v>0.15</v>
      </c>
      <c r="C160" s="1">
        <v>0.3</v>
      </c>
      <c r="D160" s="1">
        <v>0.54430000000000001</v>
      </c>
      <c r="E160" s="1">
        <v>350</v>
      </c>
      <c r="F160" s="1">
        <v>294.06</v>
      </c>
      <c r="G160" s="1">
        <v>313.27</v>
      </c>
      <c r="H160" s="1">
        <v>5995.5</v>
      </c>
      <c r="I160" s="1">
        <v>203.48</v>
      </c>
      <c r="J160" s="1">
        <f t="shared" si="18"/>
        <v>5792.02</v>
      </c>
      <c r="K160" s="1">
        <v>316.77999999999997</v>
      </c>
      <c r="L160" s="1">
        <f t="shared" si="19"/>
        <v>18.604800000000001</v>
      </c>
      <c r="M160" s="1">
        <v>9.3024000000000004</v>
      </c>
      <c r="N160" s="1">
        <v>317.27999999999997</v>
      </c>
      <c r="O160" s="1">
        <v>324.22000000000003</v>
      </c>
      <c r="P160" s="1">
        <v>316.77999999999997</v>
      </c>
    </row>
    <row r="161" spans="1:16">
      <c r="A161" s="1">
        <v>4.17</v>
      </c>
      <c r="B161" s="1">
        <v>0.15</v>
      </c>
      <c r="C161" s="1">
        <v>0.3</v>
      </c>
      <c r="D161" s="1">
        <v>0.622</v>
      </c>
      <c r="E161" s="1">
        <v>400</v>
      </c>
      <c r="F161" s="1">
        <v>293.89999999999998</v>
      </c>
      <c r="G161" s="1">
        <v>310.64999999999998</v>
      </c>
      <c r="H161" s="1">
        <v>7160.1</v>
      </c>
      <c r="I161" s="1">
        <v>214.19</v>
      </c>
      <c r="J161" s="1">
        <f t="shared" si="18"/>
        <v>6945.9100000000008</v>
      </c>
      <c r="K161" s="1">
        <v>314.26</v>
      </c>
      <c r="L161" s="1">
        <f t="shared" si="19"/>
        <v>18.6694</v>
      </c>
      <c r="M161" s="1">
        <v>9.3346999999999998</v>
      </c>
      <c r="N161" s="1">
        <v>314.75</v>
      </c>
      <c r="O161" s="1">
        <v>320.8</v>
      </c>
      <c r="P161" s="1">
        <v>314.26</v>
      </c>
    </row>
    <row r="162" spans="1:16">
      <c r="A162" s="1">
        <v>4.17</v>
      </c>
      <c r="B162" s="1">
        <v>0.15</v>
      </c>
      <c r="C162" s="1">
        <v>0.3</v>
      </c>
      <c r="D162" s="1">
        <v>0.69979999999999998</v>
      </c>
      <c r="E162" s="1">
        <v>450</v>
      </c>
      <c r="F162" s="1">
        <v>293.79000000000002</v>
      </c>
      <c r="G162" s="1">
        <v>308.58</v>
      </c>
      <c r="H162" s="1">
        <v>8399.9</v>
      </c>
      <c r="I162" s="1">
        <v>221.14</v>
      </c>
      <c r="J162" s="1">
        <f t="shared" si="18"/>
        <v>8178.7599999999993</v>
      </c>
      <c r="K162" s="1">
        <v>312.27</v>
      </c>
      <c r="L162" s="1">
        <f t="shared" si="19"/>
        <v>18.7196</v>
      </c>
      <c r="M162" s="1">
        <v>9.3597999999999999</v>
      </c>
      <c r="N162" s="1">
        <v>312.75</v>
      </c>
      <c r="O162" s="1">
        <v>318.12</v>
      </c>
      <c r="P162" s="1">
        <v>312.27</v>
      </c>
    </row>
    <row r="163" spans="1:16">
      <c r="A163" s="1">
        <v>4.17</v>
      </c>
      <c r="B163" s="1">
        <v>0.15</v>
      </c>
      <c r="C163" s="1">
        <v>0.3</v>
      </c>
      <c r="D163" s="1">
        <v>0.77749999999999997</v>
      </c>
      <c r="E163" s="1">
        <v>500</v>
      </c>
      <c r="F163" s="1">
        <v>293.7</v>
      </c>
      <c r="G163" s="1">
        <v>307.38</v>
      </c>
      <c r="H163" s="1">
        <v>9706</v>
      </c>
      <c r="I163" s="1">
        <v>222.78</v>
      </c>
      <c r="J163" s="1">
        <f t="shared" si="18"/>
        <v>9483.2199999999993</v>
      </c>
      <c r="K163" s="1">
        <v>310.82</v>
      </c>
      <c r="L163" s="1">
        <f t="shared" si="19"/>
        <v>18.772600000000001</v>
      </c>
      <c r="M163" s="1">
        <v>9.3863000000000003</v>
      </c>
      <c r="N163" s="1">
        <v>311.3</v>
      </c>
      <c r="O163" s="1">
        <v>316.33999999999997</v>
      </c>
      <c r="P163" s="1">
        <v>310.82</v>
      </c>
    </row>
    <row r="164" spans="1:16">
      <c r="A164" s="1">
        <v>4.17</v>
      </c>
      <c r="B164" s="1">
        <v>0.15</v>
      </c>
      <c r="C164" s="1">
        <v>0.3</v>
      </c>
      <c r="D164" s="1">
        <v>0.85529999999999995</v>
      </c>
      <c r="E164" s="1">
        <v>550</v>
      </c>
      <c r="F164" s="1">
        <v>293.64</v>
      </c>
      <c r="G164" s="1">
        <v>306.18</v>
      </c>
      <c r="H164" s="1">
        <v>11084</v>
      </c>
      <c r="I164" s="1">
        <v>217.78</v>
      </c>
      <c r="J164" s="1">
        <f t="shared" si="18"/>
        <v>10866.22</v>
      </c>
      <c r="K164" s="1">
        <v>309.55</v>
      </c>
      <c r="L164" s="1">
        <f t="shared" si="19"/>
        <v>18.809000000000001</v>
      </c>
      <c r="M164" s="1">
        <v>9.4045000000000005</v>
      </c>
      <c r="N164" s="1">
        <v>310.02999999999997</v>
      </c>
      <c r="O164" s="1">
        <v>314.70999999999998</v>
      </c>
      <c r="P164" s="1">
        <v>309.55</v>
      </c>
    </row>
    <row r="165" spans="1:16">
      <c r="A165" s="1">
        <v>4.17</v>
      </c>
      <c r="B165" s="1">
        <v>0.15</v>
      </c>
      <c r="C165" s="1">
        <v>0.3</v>
      </c>
      <c r="D165" s="1">
        <v>0.93300000000000005</v>
      </c>
      <c r="E165" s="1">
        <v>600</v>
      </c>
      <c r="F165" s="1">
        <v>293.58</v>
      </c>
      <c r="G165" s="1">
        <v>305.11</v>
      </c>
      <c r="H165" s="1">
        <v>12533</v>
      </c>
      <c r="I165" s="1">
        <v>205.21</v>
      </c>
      <c r="J165" s="1">
        <f t="shared" si="18"/>
        <v>12327.79</v>
      </c>
      <c r="K165" s="1">
        <v>308.47000000000003</v>
      </c>
      <c r="L165" s="1">
        <f t="shared" si="19"/>
        <v>18.841000000000001</v>
      </c>
      <c r="M165" s="1">
        <v>9.4205000000000005</v>
      </c>
      <c r="N165" s="1">
        <v>308.94</v>
      </c>
      <c r="O165" s="1">
        <v>313.3</v>
      </c>
      <c r="P165" s="1">
        <v>308.47000000000003</v>
      </c>
    </row>
    <row r="166" spans="1:16">
      <c r="A166" s="1">
        <v>4.17</v>
      </c>
      <c r="B166" s="1">
        <v>0.15</v>
      </c>
      <c r="C166" s="1">
        <v>0.3</v>
      </c>
      <c r="D166" s="1">
        <v>1.0107999999999999</v>
      </c>
      <c r="E166" s="1">
        <v>650</v>
      </c>
      <c r="F166" s="1">
        <v>293.54000000000002</v>
      </c>
      <c r="G166" s="1">
        <v>304.22000000000003</v>
      </c>
      <c r="H166" s="1">
        <v>14057</v>
      </c>
      <c r="I166" s="1">
        <v>184.33</v>
      </c>
      <c r="J166" s="1">
        <f t="shared" si="18"/>
        <v>13872.67</v>
      </c>
      <c r="K166" s="1">
        <v>307.55</v>
      </c>
      <c r="L166" s="1">
        <f t="shared" si="19"/>
        <v>18.860800000000001</v>
      </c>
      <c r="M166" s="1">
        <v>9.4304000000000006</v>
      </c>
      <c r="N166" s="1">
        <v>308.02</v>
      </c>
      <c r="O166" s="1">
        <v>312.11</v>
      </c>
      <c r="P166" s="1">
        <v>307.55</v>
      </c>
    </row>
    <row r="167" spans="1:16">
      <c r="A167" s="1">
        <v>4.17</v>
      </c>
      <c r="B167" s="1">
        <v>0.15</v>
      </c>
      <c r="C167" s="1">
        <v>0.3</v>
      </c>
      <c r="D167" s="1">
        <v>1.0885</v>
      </c>
      <c r="E167" s="1">
        <v>700</v>
      </c>
      <c r="F167" s="1">
        <v>293.5</v>
      </c>
      <c r="G167" s="1">
        <v>303.42</v>
      </c>
      <c r="H167" s="1">
        <v>15652</v>
      </c>
      <c r="I167" s="1">
        <v>155.47999999999999</v>
      </c>
      <c r="J167" s="1">
        <f t="shared" si="18"/>
        <v>15496.52</v>
      </c>
      <c r="K167" s="1">
        <v>306.76</v>
      </c>
      <c r="L167" s="1">
        <f t="shared" si="19"/>
        <v>18.884399999999999</v>
      </c>
      <c r="M167" s="1">
        <v>9.4421999999999997</v>
      </c>
      <c r="N167" s="1">
        <v>307.23</v>
      </c>
      <c r="O167" s="1">
        <v>311.07</v>
      </c>
      <c r="P167" s="1">
        <v>306.76</v>
      </c>
    </row>
    <row r="168" spans="1:16">
      <c r="A168" s="1">
        <v>4.17</v>
      </c>
      <c r="B168" s="1">
        <v>0.15</v>
      </c>
      <c r="C168" s="1">
        <v>0.3</v>
      </c>
      <c r="D168" s="1">
        <v>1.1662999999999999</v>
      </c>
      <c r="E168" s="1">
        <v>750</v>
      </c>
      <c r="F168" s="1">
        <v>293.47000000000003</v>
      </c>
      <c r="G168" s="1">
        <v>302.70999999999998</v>
      </c>
      <c r="H168" s="1">
        <v>17323</v>
      </c>
      <c r="I168" s="1">
        <v>119.28</v>
      </c>
      <c r="J168" s="1">
        <f t="shared" si="18"/>
        <v>17203.72</v>
      </c>
      <c r="K168" s="1">
        <v>306.06</v>
      </c>
      <c r="L168" s="1">
        <f t="shared" si="19"/>
        <v>18.881399999999999</v>
      </c>
      <c r="M168" s="1">
        <v>9.4406999999999996</v>
      </c>
      <c r="N168" s="1">
        <v>306.52999999999997</v>
      </c>
      <c r="O168" s="1">
        <v>310.14999999999998</v>
      </c>
      <c r="P168" s="1">
        <v>306.06</v>
      </c>
    </row>
    <row r="169" spans="1:16">
      <c r="A169" s="1">
        <v>4.17</v>
      </c>
      <c r="B169" s="1">
        <v>0.15</v>
      </c>
      <c r="C169" s="1">
        <v>0.3</v>
      </c>
      <c r="D169" s="1">
        <v>1.244</v>
      </c>
      <c r="E169" s="1">
        <v>800</v>
      </c>
      <c r="F169" s="1">
        <v>293.44</v>
      </c>
      <c r="G169" s="1">
        <v>302.11</v>
      </c>
      <c r="H169" s="1">
        <v>19067</v>
      </c>
      <c r="I169" s="1">
        <v>77.290000000000006</v>
      </c>
      <c r="J169" s="1">
        <f t="shared" si="18"/>
        <v>18989.71</v>
      </c>
      <c r="K169" s="1">
        <v>305.45</v>
      </c>
      <c r="L169" s="1">
        <f t="shared" si="19"/>
        <v>18.900400000000001</v>
      </c>
      <c r="M169" s="1">
        <v>9.4502000000000006</v>
      </c>
      <c r="N169" s="1">
        <v>305.92</v>
      </c>
      <c r="O169" s="1">
        <v>309.35000000000002</v>
      </c>
      <c r="P169" s="1">
        <v>305.45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0"/>
  <sheetViews>
    <sheetView topLeftCell="A12" zoomScaleNormal="100" workbookViewId="0">
      <selection activeCell="A19" sqref="A19:P30"/>
    </sheetView>
  </sheetViews>
  <sheetFormatPr defaultRowHeight="15"/>
  <cols>
    <col min="1" max="1" width="13.28515625" bestFit="1" customWidth="1"/>
    <col min="2" max="2" width="15.85546875" bestFit="1" customWidth="1"/>
    <col min="3" max="3" width="15.5703125" bestFit="1" customWidth="1"/>
    <col min="4" max="4" width="14.28515625" customWidth="1"/>
  </cols>
  <sheetData>
    <row r="1" spans="1:1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t="s">
        <v>19</v>
      </c>
      <c r="B2" t="s">
        <v>20</v>
      </c>
      <c r="C2" t="s">
        <v>21</v>
      </c>
      <c r="D2" s="1" t="s">
        <v>18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/>
      <c r="N2" s="1" t="s">
        <v>9</v>
      </c>
      <c r="O2" s="1" t="s">
        <v>10</v>
      </c>
      <c r="P2" s="1" t="s">
        <v>11</v>
      </c>
      <c r="Q2" s="1" t="s">
        <v>12</v>
      </c>
      <c r="R2" s="1" t="s">
        <v>13</v>
      </c>
      <c r="S2" s="1" t="s">
        <v>14</v>
      </c>
    </row>
    <row r="3" spans="1:19">
      <c r="A3" s="1">
        <v>3.57</v>
      </c>
      <c r="B3" s="1">
        <v>0.15</v>
      </c>
      <c r="C3" s="1">
        <v>0.3</v>
      </c>
      <c r="D3" s="1">
        <v>0.38879999999999998</v>
      </c>
      <c r="E3" s="1">
        <v>250</v>
      </c>
      <c r="F3" s="1">
        <v>294.55</v>
      </c>
      <c r="G3" s="1">
        <v>321.49</v>
      </c>
      <c r="H3" s="1">
        <v>4087.9</v>
      </c>
      <c r="I3" s="1">
        <v>172.3</v>
      </c>
      <c r="J3" s="1">
        <f>H3-I3</f>
        <v>3915.6</v>
      </c>
      <c r="K3" s="1">
        <v>323.18</v>
      </c>
      <c r="L3" s="1">
        <f>M3*2</f>
        <v>18.477799999999998</v>
      </c>
      <c r="M3" s="1">
        <v>9.2388999999999992</v>
      </c>
      <c r="N3" s="1">
        <v>323.69</v>
      </c>
      <c r="O3" s="1">
        <v>333.32</v>
      </c>
      <c r="P3" s="1">
        <v>323.18</v>
      </c>
      <c r="Q3" s="1"/>
      <c r="R3" s="1"/>
      <c r="S3" s="1"/>
    </row>
    <row r="4" spans="1:19">
      <c r="A4" s="1"/>
      <c r="B4" s="2"/>
      <c r="C4" s="1"/>
      <c r="D4" s="1">
        <v>0.46650000000000003</v>
      </c>
      <c r="E4" s="1">
        <v>300</v>
      </c>
      <c r="F4" s="1">
        <v>294.24</v>
      </c>
      <c r="G4" s="1">
        <v>316.67</v>
      </c>
      <c r="H4" s="1">
        <v>5179.2</v>
      </c>
      <c r="I4" s="1">
        <v>191.89</v>
      </c>
      <c r="J4" s="1">
        <f>H4-I4</f>
        <v>4987.3099999999995</v>
      </c>
      <c r="K4" s="1">
        <v>318.8</v>
      </c>
      <c r="L4" s="1">
        <f>M4*2</f>
        <v>18.571999999999999</v>
      </c>
      <c r="M4" s="1">
        <v>9.2859999999999996</v>
      </c>
      <c r="N4" s="1">
        <v>319.29000000000002</v>
      </c>
      <c r="O4" s="1">
        <v>327.29000000000002</v>
      </c>
      <c r="P4" s="1">
        <v>318.8</v>
      </c>
      <c r="Q4" s="1"/>
      <c r="R4" s="1"/>
      <c r="S4" s="1"/>
    </row>
    <row r="5" spans="1:19">
      <c r="A5" s="1"/>
      <c r="B5" s="1"/>
      <c r="C5" s="1"/>
      <c r="D5" s="1">
        <v>0.54430000000000001</v>
      </c>
      <c r="E5" s="1">
        <v>350</v>
      </c>
      <c r="F5" s="1">
        <v>294.02</v>
      </c>
      <c r="G5" s="1">
        <v>313.19</v>
      </c>
      <c r="H5" s="1">
        <v>6361</v>
      </c>
      <c r="I5" s="1">
        <v>208.85</v>
      </c>
      <c r="J5" s="1">
        <f t="shared" ref="J5:J68" si="0">H5-I5</f>
        <v>6152.15</v>
      </c>
      <c r="K5" s="1">
        <v>315.61</v>
      </c>
      <c r="L5" s="1">
        <f t="shared" ref="L5:L68" si="1">M5*2</f>
        <v>18.6526</v>
      </c>
      <c r="M5" s="1">
        <v>9.3262999999999998</v>
      </c>
      <c r="N5" s="1">
        <v>316.08</v>
      </c>
      <c r="O5" s="1">
        <v>322.94</v>
      </c>
      <c r="P5" s="1">
        <v>315.61</v>
      </c>
      <c r="Q5" s="1"/>
      <c r="R5" s="1"/>
      <c r="S5" s="1"/>
    </row>
    <row r="6" spans="1:19">
      <c r="A6" s="1"/>
      <c r="B6" s="1"/>
      <c r="C6" s="1"/>
      <c r="D6" s="1">
        <v>0.622</v>
      </c>
      <c r="E6" s="1">
        <v>400</v>
      </c>
      <c r="F6" s="1">
        <v>293.87</v>
      </c>
      <c r="G6" s="1">
        <v>310.52999999999997</v>
      </c>
      <c r="H6" s="1">
        <v>7628.6</v>
      </c>
      <c r="I6" s="1">
        <v>222.8</v>
      </c>
      <c r="J6" s="1">
        <f t="shared" si="0"/>
        <v>7405.8</v>
      </c>
      <c r="K6" s="1">
        <v>313.19</v>
      </c>
      <c r="L6" s="1">
        <f t="shared" si="1"/>
        <v>18.714400000000001</v>
      </c>
      <c r="M6" s="1">
        <v>9.3572000000000006</v>
      </c>
      <c r="N6" s="1">
        <v>313.66000000000003</v>
      </c>
      <c r="O6" s="1">
        <v>319.64</v>
      </c>
      <c r="P6" s="1">
        <v>313.19</v>
      </c>
      <c r="Q6" s="1"/>
      <c r="R6" s="1"/>
      <c r="S6" s="1"/>
    </row>
    <row r="7" spans="1:19">
      <c r="A7" s="1"/>
      <c r="B7" s="1"/>
      <c r="C7" s="1"/>
      <c r="D7" s="1">
        <v>0.69979999999999998</v>
      </c>
      <c r="E7" s="1">
        <v>450</v>
      </c>
      <c r="F7" s="1">
        <v>293.76</v>
      </c>
      <c r="G7" s="1">
        <v>308.95999999999998</v>
      </c>
      <c r="H7" s="1">
        <v>8981.4</v>
      </c>
      <c r="I7" s="1">
        <v>232.48</v>
      </c>
      <c r="J7" s="1">
        <f t="shared" si="0"/>
        <v>8748.92</v>
      </c>
      <c r="K7" s="1">
        <v>311.45999999999998</v>
      </c>
      <c r="L7" s="1">
        <f t="shared" si="1"/>
        <v>18.773199999999999</v>
      </c>
      <c r="M7" s="1">
        <v>9.3865999999999996</v>
      </c>
      <c r="N7" s="1">
        <v>311.92</v>
      </c>
      <c r="O7" s="1">
        <v>317.47000000000003</v>
      </c>
      <c r="P7" s="1">
        <v>311.45999999999998</v>
      </c>
      <c r="Q7" s="1"/>
      <c r="R7" s="1"/>
      <c r="S7" s="1"/>
    </row>
    <row r="8" spans="1:19">
      <c r="A8" s="1"/>
      <c r="B8" s="1"/>
      <c r="C8" s="1"/>
      <c r="D8" s="1">
        <v>0.77749999999999997</v>
      </c>
      <c r="E8" s="1">
        <v>500</v>
      </c>
      <c r="F8" s="1">
        <v>293.68</v>
      </c>
      <c r="G8" s="1">
        <v>307.41000000000003</v>
      </c>
      <c r="H8" s="1">
        <v>10417</v>
      </c>
      <c r="I8" s="1">
        <v>236.48</v>
      </c>
      <c r="J8" s="1">
        <f t="shared" si="0"/>
        <v>10180.52</v>
      </c>
      <c r="K8" s="1">
        <v>309.97000000000003</v>
      </c>
      <c r="L8" s="1">
        <f t="shared" si="1"/>
        <v>18.8262</v>
      </c>
      <c r="M8" s="1">
        <v>9.4131</v>
      </c>
      <c r="N8" s="1">
        <v>310.43</v>
      </c>
      <c r="O8" s="1">
        <v>315.48</v>
      </c>
      <c r="P8" s="1">
        <v>309.97000000000003</v>
      </c>
      <c r="Q8" s="1"/>
      <c r="R8" s="1"/>
      <c r="S8" s="1"/>
    </row>
    <row r="9" spans="1:19">
      <c r="A9" s="1"/>
      <c r="B9" s="1"/>
      <c r="C9" s="1"/>
      <c r="D9" s="1">
        <v>0.85529999999999995</v>
      </c>
      <c r="E9" s="1">
        <v>550</v>
      </c>
      <c r="F9" s="1">
        <v>293.61</v>
      </c>
      <c r="G9" s="1">
        <v>306.14999999999998</v>
      </c>
      <c r="H9" s="1">
        <v>11939</v>
      </c>
      <c r="I9" s="1">
        <v>233.83</v>
      </c>
      <c r="J9" s="1">
        <f t="shared" si="0"/>
        <v>11705.17</v>
      </c>
      <c r="K9" s="1">
        <v>308.75</v>
      </c>
      <c r="L9" s="1">
        <f t="shared" si="1"/>
        <v>18.866399999999999</v>
      </c>
      <c r="M9" s="1">
        <v>9.4331999999999994</v>
      </c>
      <c r="N9" s="1">
        <v>309.2</v>
      </c>
      <c r="O9" s="1">
        <v>313.85000000000002</v>
      </c>
      <c r="P9" s="1">
        <v>308.75</v>
      </c>
      <c r="Q9" s="1"/>
      <c r="R9" s="1"/>
      <c r="S9" s="1"/>
    </row>
    <row r="10" spans="1:19">
      <c r="A10" s="1"/>
      <c r="B10" s="1"/>
      <c r="C10" s="1"/>
      <c r="D10" s="1">
        <v>0.93300000000000005</v>
      </c>
      <c r="E10" s="1">
        <v>600</v>
      </c>
      <c r="F10" s="1">
        <v>293.56</v>
      </c>
      <c r="G10" s="1">
        <v>305.10000000000002</v>
      </c>
      <c r="H10" s="1">
        <v>13546</v>
      </c>
      <c r="I10" s="1">
        <v>224.19</v>
      </c>
      <c r="J10" s="1">
        <f t="shared" si="0"/>
        <v>13321.81</v>
      </c>
      <c r="K10" s="1">
        <v>307.72000000000003</v>
      </c>
      <c r="L10" s="1">
        <f t="shared" si="1"/>
        <v>18.8934</v>
      </c>
      <c r="M10" s="1">
        <v>9.4466999999999999</v>
      </c>
      <c r="N10" s="1">
        <v>308.17</v>
      </c>
      <c r="O10" s="1">
        <v>312.48</v>
      </c>
      <c r="P10" s="1">
        <v>307.72000000000003</v>
      </c>
      <c r="Q10" s="1"/>
      <c r="R10" s="1"/>
      <c r="S10" s="1"/>
    </row>
    <row r="11" spans="1:19">
      <c r="A11" s="1"/>
      <c r="B11" s="1"/>
      <c r="C11" s="1"/>
      <c r="D11" s="1">
        <v>1.0107999999999999</v>
      </c>
      <c r="E11" s="1">
        <v>650</v>
      </c>
      <c r="F11" s="1">
        <v>293.52</v>
      </c>
      <c r="G11" s="1">
        <v>304.2</v>
      </c>
      <c r="H11" s="1">
        <v>15240</v>
      </c>
      <c r="I11" s="1">
        <v>207.86</v>
      </c>
      <c r="J11" s="1">
        <f t="shared" si="0"/>
        <v>15032.14</v>
      </c>
      <c r="K11" s="1">
        <v>306.83999999999997</v>
      </c>
      <c r="L11" s="1">
        <f t="shared" si="1"/>
        <v>18.917000000000002</v>
      </c>
      <c r="M11" s="1">
        <v>9.4585000000000008</v>
      </c>
      <c r="N11" s="1">
        <v>307.3</v>
      </c>
      <c r="O11" s="1">
        <v>311.31</v>
      </c>
      <c r="P11" s="1">
        <v>306.83999999999997</v>
      </c>
      <c r="Q11" s="1"/>
      <c r="R11" s="1"/>
      <c r="S11" s="1"/>
    </row>
    <row r="12" spans="1:19">
      <c r="A12" s="1"/>
      <c r="B12" s="1"/>
      <c r="C12" s="1"/>
      <c r="D12" s="1">
        <v>1.0885</v>
      </c>
      <c r="E12" s="1">
        <v>700</v>
      </c>
      <c r="F12" s="1">
        <v>293.48</v>
      </c>
      <c r="G12" s="1">
        <v>303.43</v>
      </c>
      <c r="H12" s="1">
        <v>17016</v>
      </c>
      <c r="I12" s="1">
        <v>184.61</v>
      </c>
      <c r="J12" s="1">
        <f t="shared" si="0"/>
        <v>16831.39</v>
      </c>
      <c r="K12" s="1">
        <v>306.08999999999997</v>
      </c>
      <c r="L12" s="1">
        <f t="shared" si="1"/>
        <v>18.927399999999999</v>
      </c>
      <c r="M12" s="1">
        <v>9.4636999999999993</v>
      </c>
      <c r="N12" s="1">
        <v>306.55</v>
      </c>
      <c r="O12" s="1">
        <v>310.3</v>
      </c>
      <c r="P12" s="1">
        <v>306.08999999999997</v>
      </c>
      <c r="Q12" s="1"/>
      <c r="R12" s="1"/>
      <c r="S12" s="1"/>
    </row>
    <row r="13" spans="1:19">
      <c r="A13" s="1"/>
      <c r="B13" s="1"/>
      <c r="C13" s="1"/>
      <c r="D13" s="1">
        <v>1.1662999999999999</v>
      </c>
      <c r="E13" s="1">
        <v>750</v>
      </c>
      <c r="F13" s="1">
        <v>293.45</v>
      </c>
      <c r="G13" s="1">
        <v>302.76</v>
      </c>
      <c r="H13" s="1">
        <v>18873</v>
      </c>
      <c r="I13" s="1">
        <v>153.82</v>
      </c>
      <c r="J13" s="1">
        <f t="shared" si="0"/>
        <v>18719.18</v>
      </c>
      <c r="K13" s="1">
        <v>305.44</v>
      </c>
      <c r="L13" s="1">
        <f t="shared" si="1"/>
        <v>18.942599999999999</v>
      </c>
      <c r="M13" s="1">
        <v>9.4712999999999994</v>
      </c>
      <c r="N13" s="1">
        <v>305.89</v>
      </c>
      <c r="O13" s="1">
        <v>309.42</v>
      </c>
      <c r="P13" s="1">
        <v>305.44</v>
      </c>
      <c r="Q13" s="1"/>
      <c r="R13" s="1"/>
      <c r="S13" s="1"/>
    </row>
    <row r="14" spans="1:19">
      <c r="A14" s="1"/>
      <c r="B14" s="1"/>
      <c r="C14" s="1"/>
      <c r="D14" s="1">
        <v>1.244</v>
      </c>
      <c r="E14" s="1">
        <v>800</v>
      </c>
      <c r="F14" s="1">
        <v>293.43</v>
      </c>
      <c r="G14" s="1">
        <v>302.14</v>
      </c>
      <c r="H14" s="1">
        <v>20799</v>
      </c>
      <c r="I14" s="1">
        <v>115.42</v>
      </c>
      <c r="J14" s="1">
        <f t="shared" si="0"/>
        <v>20683.580000000002</v>
      </c>
      <c r="K14" s="1">
        <v>304.86</v>
      </c>
      <c r="L14" s="1">
        <f t="shared" si="1"/>
        <v>18.958600000000001</v>
      </c>
      <c r="M14" s="1">
        <v>9.4793000000000003</v>
      </c>
      <c r="N14" s="1">
        <v>305.31</v>
      </c>
      <c r="O14" s="1">
        <v>308.63</v>
      </c>
      <c r="P14" s="1">
        <v>304.86</v>
      </c>
      <c r="Q14" s="1"/>
      <c r="R14" s="1"/>
      <c r="S14" s="1"/>
    </row>
    <row r="15" spans="1:19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>
      <c r="A18" t="s">
        <v>19</v>
      </c>
      <c r="B18" t="s">
        <v>20</v>
      </c>
      <c r="C18" t="s">
        <v>21</v>
      </c>
      <c r="D18" s="1" t="s">
        <v>0</v>
      </c>
      <c r="E18" s="1" t="s">
        <v>1</v>
      </c>
      <c r="F18" s="1" t="s">
        <v>2</v>
      </c>
      <c r="G18" s="1" t="s">
        <v>3</v>
      </c>
      <c r="H18" s="1" t="s">
        <v>4</v>
      </c>
      <c r="I18" s="1" t="s">
        <v>5</v>
      </c>
      <c r="J18" s="1" t="s">
        <v>6</v>
      </c>
      <c r="K18" s="1" t="s">
        <v>7</v>
      </c>
      <c r="L18" s="1" t="s">
        <v>8</v>
      </c>
      <c r="M18" s="1"/>
      <c r="N18" s="1" t="s">
        <v>9</v>
      </c>
      <c r="O18" s="1" t="s">
        <v>10</v>
      </c>
      <c r="P18" s="1" t="s">
        <v>11</v>
      </c>
      <c r="Q18" s="1" t="s">
        <v>12</v>
      </c>
      <c r="R18" s="1" t="s">
        <v>13</v>
      </c>
      <c r="S18" s="1" t="s">
        <v>14</v>
      </c>
    </row>
    <row r="19" spans="1:19">
      <c r="A19" s="1">
        <v>4.17</v>
      </c>
      <c r="B19" s="1">
        <v>0.15</v>
      </c>
      <c r="C19" s="1">
        <v>0.3</v>
      </c>
      <c r="D19" s="1">
        <v>0.38879999999999998</v>
      </c>
      <c r="E19" s="1">
        <v>250</v>
      </c>
      <c r="F19" s="1">
        <v>294.61</v>
      </c>
      <c r="G19" s="1">
        <v>321.22000000000003</v>
      </c>
      <c r="H19" s="1">
        <v>3890.9</v>
      </c>
      <c r="I19" s="1">
        <v>171.42</v>
      </c>
      <c r="J19" s="1">
        <f t="shared" si="0"/>
        <v>3719.48</v>
      </c>
      <c r="K19" s="1">
        <v>324.45999999999998</v>
      </c>
      <c r="L19" s="1">
        <f t="shared" si="1"/>
        <v>18.433</v>
      </c>
      <c r="M19" s="1">
        <v>9.2164999999999999</v>
      </c>
      <c r="N19" s="1">
        <v>325</v>
      </c>
      <c r="O19" s="1">
        <v>334.64</v>
      </c>
      <c r="P19" s="1">
        <v>324.45999999999998</v>
      </c>
      <c r="Q19" s="1"/>
      <c r="R19" s="1"/>
      <c r="S19" s="1"/>
    </row>
    <row r="20" spans="1:19">
      <c r="A20" s="1"/>
      <c r="B20" s="1"/>
      <c r="C20" s="1"/>
      <c r="D20" s="1">
        <v>0.46650000000000003</v>
      </c>
      <c r="E20" s="1">
        <v>300</v>
      </c>
      <c r="F20" s="1">
        <v>294.27999999999997</v>
      </c>
      <c r="G20" s="1">
        <v>316.63</v>
      </c>
      <c r="H20" s="1">
        <v>4904.8999999999996</v>
      </c>
      <c r="I20" s="1">
        <v>189.3</v>
      </c>
      <c r="J20" s="1">
        <f t="shared" si="0"/>
        <v>4715.5999999999995</v>
      </c>
      <c r="K20" s="1">
        <v>320.05</v>
      </c>
      <c r="L20" s="1">
        <f t="shared" si="1"/>
        <v>18.5242</v>
      </c>
      <c r="M20" s="1">
        <v>9.2621000000000002</v>
      </c>
      <c r="N20" s="1">
        <v>320.57</v>
      </c>
      <c r="O20" s="1">
        <v>328.64</v>
      </c>
      <c r="P20" s="1">
        <v>320.05</v>
      </c>
      <c r="Q20" s="1"/>
      <c r="R20" s="1"/>
      <c r="S20" s="1"/>
    </row>
    <row r="21" spans="1:19">
      <c r="A21" s="1"/>
      <c r="B21" s="1"/>
      <c r="C21" s="1"/>
      <c r="D21" s="1">
        <v>0.54430000000000001</v>
      </c>
      <c r="E21" s="1">
        <v>350</v>
      </c>
      <c r="F21" s="1">
        <v>294.06</v>
      </c>
      <c r="G21" s="1">
        <v>313.27</v>
      </c>
      <c r="H21" s="1">
        <v>5995.5</v>
      </c>
      <c r="I21" s="1">
        <v>203.48</v>
      </c>
      <c r="J21" s="1">
        <f t="shared" si="0"/>
        <v>5792.02</v>
      </c>
      <c r="K21" s="1">
        <v>316.77999999999997</v>
      </c>
      <c r="L21" s="1">
        <f t="shared" si="1"/>
        <v>18.604800000000001</v>
      </c>
      <c r="M21" s="1">
        <v>9.3024000000000004</v>
      </c>
      <c r="N21" s="1">
        <v>317.27999999999997</v>
      </c>
      <c r="O21" s="1">
        <v>324.22000000000003</v>
      </c>
      <c r="P21" s="1">
        <v>316.77999999999997</v>
      </c>
      <c r="Q21" s="1"/>
      <c r="R21" s="1"/>
      <c r="S21" s="1"/>
    </row>
    <row r="22" spans="1:19">
      <c r="A22" s="1"/>
      <c r="B22" s="1"/>
      <c r="C22" s="1"/>
      <c r="D22" s="1">
        <v>0.622</v>
      </c>
      <c r="E22" s="1">
        <v>400</v>
      </c>
      <c r="F22" s="1">
        <v>293.89999999999998</v>
      </c>
      <c r="G22" s="1">
        <v>310.64999999999998</v>
      </c>
      <c r="H22" s="1">
        <v>7160.1</v>
      </c>
      <c r="I22" s="1">
        <v>214.19</v>
      </c>
      <c r="J22" s="1">
        <f t="shared" si="0"/>
        <v>6945.9100000000008</v>
      </c>
      <c r="K22" s="1">
        <v>314.26</v>
      </c>
      <c r="L22" s="1">
        <f t="shared" si="1"/>
        <v>18.6694</v>
      </c>
      <c r="M22" s="1">
        <v>9.3346999999999998</v>
      </c>
      <c r="N22" s="1">
        <v>314.75</v>
      </c>
      <c r="O22" s="1">
        <v>320.8</v>
      </c>
      <c r="P22" s="1">
        <v>314.26</v>
      </c>
      <c r="Q22" s="1"/>
      <c r="R22" s="1"/>
      <c r="S22" s="1"/>
    </row>
    <row r="23" spans="1:19">
      <c r="A23" s="1"/>
      <c r="B23" s="1"/>
      <c r="C23" s="1"/>
      <c r="D23" s="1">
        <v>0.69979999999999998</v>
      </c>
      <c r="E23" s="1">
        <v>450</v>
      </c>
      <c r="F23" s="1">
        <v>293.79000000000002</v>
      </c>
      <c r="G23" s="1">
        <v>308.58</v>
      </c>
      <c r="H23" s="1">
        <v>8399.9</v>
      </c>
      <c r="I23" s="1">
        <v>221.14</v>
      </c>
      <c r="J23" s="1">
        <f t="shared" si="0"/>
        <v>8178.7599999999993</v>
      </c>
      <c r="K23" s="1">
        <v>312.27</v>
      </c>
      <c r="L23" s="1">
        <f t="shared" si="1"/>
        <v>18.7196</v>
      </c>
      <c r="M23" s="1">
        <v>9.3597999999999999</v>
      </c>
      <c r="N23" s="1">
        <v>312.75</v>
      </c>
      <c r="O23" s="1">
        <v>318.12</v>
      </c>
      <c r="P23" s="1">
        <v>312.27</v>
      </c>
      <c r="Q23" s="1"/>
      <c r="R23" s="1"/>
      <c r="S23" s="1"/>
    </row>
    <row r="24" spans="1:19">
      <c r="A24" s="1"/>
      <c r="B24" s="1"/>
      <c r="C24" s="1"/>
      <c r="D24" s="1">
        <v>0.77749999999999997</v>
      </c>
      <c r="E24" s="1">
        <v>500</v>
      </c>
      <c r="F24" s="1">
        <v>293.7</v>
      </c>
      <c r="G24" s="1">
        <v>307.38</v>
      </c>
      <c r="H24" s="1">
        <v>9706</v>
      </c>
      <c r="I24" s="1">
        <v>222.78</v>
      </c>
      <c r="J24" s="1">
        <f t="shared" si="0"/>
        <v>9483.2199999999993</v>
      </c>
      <c r="K24" s="1">
        <v>310.82</v>
      </c>
      <c r="L24" s="1">
        <f t="shared" si="1"/>
        <v>18.772600000000001</v>
      </c>
      <c r="M24" s="1">
        <v>9.3863000000000003</v>
      </c>
      <c r="N24" s="1">
        <v>311.3</v>
      </c>
      <c r="O24" s="1">
        <v>316.33999999999997</v>
      </c>
      <c r="P24" s="1">
        <v>310.82</v>
      </c>
      <c r="Q24" s="1"/>
      <c r="R24" s="1"/>
      <c r="S24" s="1"/>
    </row>
    <row r="25" spans="1:19">
      <c r="A25" s="1"/>
      <c r="B25" s="1"/>
      <c r="C25" s="1"/>
      <c r="D25" s="1">
        <v>0.85529999999999995</v>
      </c>
      <c r="E25" s="1">
        <v>550</v>
      </c>
      <c r="F25" s="1">
        <v>293.64</v>
      </c>
      <c r="G25" s="1">
        <v>306.18</v>
      </c>
      <c r="H25" s="1">
        <v>11084</v>
      </c>
      <c r="I25" s="1">
        <v>217.78</v>
      </c>
      <c r="J25" s="1">
        <f t="shared" si="0"/>
        <v>10866.22</v>
      </c>
      <c r="K25" s="1">
        <v>309.55</v>
      </c>
      <c r="L25" s="1">
        <f t="shared" si="1"/>
        <v>18.809000000000001</v>
      </c>
      <c r="M25" s="1">
        <v>9.4045000000000005</v>
      </c>
      <c r="N25" s="1">
        <v>310.02999999999997</v>
      </c>
      <c r="O25" s="1">
        <v>314.70999999999998</v>
      </c>
      <c r="P25" s="1">
        <v>309.55</v>
      </c>
      <c r="Q25" s="1"/>
      <c r="R25" s="1"/>
      <c r="S25" s="1"/>
    </row>
    <row r="26" spans="1:19">
      <c r="A26" s="1"/>
      <c r="B26" s="1"/>
      <c r="C26" s="1"/>
      <c r="D26" s="1">
        <v>0.93300000000000005</v>
      </c>
      <c r="E26" s="1">
        <v>600</v>
      </c>
      <c r="F26" s="1">
        <v>293.58</v>
      </c>
      <c r="G26" s="1">
        <v>305.11</v>
      </c>
      <c r="H26" s="1">
        <v>12533</v>
      </c>
      <c r="I26" s="1">
        <v>205.21</v>
      </c>
      <c r="J26" s="1">
        <f t="shared" si="0"/>
        <v>12327.79</v>
      </c>
      <c r="K26" s="1">
        <v>308.47000000000003</v>
      </c>
      <c r="L26" s="1">
        <f t="shared" si="1"/>
        <v>18.841000000000001</v>
      </c>
      <c r="M26" s="1">
        <v>9.4205000000000005</v>
      </c>
      <c r="N26" s="1">
        <v>308.94</v>
      </c>
      <c r="O26" s="1">
        <v>313.3</v>
      </c>
      <c r="P26" s="1">
        <v>308.47000000000003</v>
      </c>
      <c r="Q26" s="1"/>
      <c r="R26" s="1"/>
      <c r="S26" s="1"/>
    </row>
    <row r="27" spans="1:19">
      <c r="A27" s="1"/>
      <c r="B27" s="1"/>
      <c r="C27" s="1"/>
      <c r="D27" s="1">
        <v>1.0107999999999999</v>
      </c>
      <c r="E27" s="1">
        <v>650</v>
      </c>
      <c r="F27" s="1">
        <v>293.54000000000002</v>
      </c>
      <c r="G27" s="1">
        <v>304.22000000000003</v>
      </c>
      <c r="H27" s="1">
        <v>14057</v>
      </c>
      <c r="I27" s="1">
        <v>184.33</v>
      </c>
      <c r="J27" s="1">
        <f t="shared" si="0"/>
        <v>13872.67</v>
      </c>
      <c r="K27" s="1">
        <v>307.55</v>
      </c>
      <c r="L27" s="1">
        <f t="shared" si="1"/>
        <v>18.860800000000001</v>
      </c>
      <c r="M27" s="1">
        <v>9.4304000000000006</v>
      </c>
      <c r="N27" s="1">
        <v>308.02</v>
      </c>
      <c r="O27" s="1">
        <v>312.11</v>
      </c>
      <c r="P27" s="1">
        <v>307.55</v>
      </c>
      <c r="Q27" s="1"/>
      <c r="R27" s="1"/>
      <c r="S27" s="1"/>
    </row>
    <row r="28" spans="1:19">
      <c r="A28" s="1"/>
      <c r="B28" s="1"/>
      <c r="C28" s="1"/>
      <c r="D28" s="1">
        <v>1.0885</v>
      </c>
      <c r="E28" s="1">
        <v>700</v>
      </c>
      <c r="F28" s="1">
        <v>293.5</v>
      </c>
      <c r="G28" s="1">
        <v>303.42</v>
      </c>
      <c r="H28" s="1">
        <v>15652</v>
      </c>
      <c r="I28" s="1">
        <v>155.47999999999999</v>
      </c>
      <c r="J28" s="1">
        <f t="shared" si="0"/>
        <v>15496.52</v>
      </c>
      <c r="K28" s="1">
        <v>306.76</v>
      </c>
      <c r="L28" s="1">
        <f t="shared" si="1"/>
        <v>18.884399999999999</v>
      </c>
      <c r="M28" s="1">
        <v>9.4421999999999997</v>
      </c>
      <c r="N28" s="1">
        <v>307.23</v>
      </c>
      <c r="O28" s="1">
        <v>311.07</v>
      </c>
      <c r="P28" s="1">
        <v>306.76</v>
      </c>
      <c r="Q28" s="1"/>
      <c r="R28" s="1"/>
      <c r="S28" s="1"/>
    </row>
    <row r="29" spans="1:19">
      <c r="A29" s="1"/>
      <c r="B29" s="1"/>
      <c r="C29" s="1"/>
      <c r="D29" s="1">
        <v>1.1662999999999999</v>
      </c>
      <c r="E29" s="1">
        <v>750</v>
      </c>
      <c r="F29" s="1">
        <v>293.47000000000003</v>
      </c>
      <c r="G29" s="1">
        <v>302.70999999999998</v>
      </c>
      <c r="H29" s="1">
        <v>17323</v>
      </c>
      <c r="I29" s="1">
        <v>119.28</v>
      </c>
      <c r="J29" s="1">
        <f t="shared" si="0"/>
        <v>17203.72</v>
      </c>
      <c r="K29" s="1">
        <v>306.06</v>
      </c>
      <c r="L29" s="1">
        <f t="shared" si="1"/>
        <v>18.881399999999999</v>
      </c>
      <c r="M29" s="1">
        <v>9.4406999999999996</v>
      </c>
      <c r="N29" s="1">
        <v>306.52999999999997</v>
      </c>
      <c r="O29" s="1">
        <v>310.14999999999998</v>
      </c>
      <c r="P29" s="1">
        <v>306.06</v>
      </c>
      <c r="Q29" s="1"/>
      <c r="R29" s="1"/>
      <c r="S29" s="1"/>
    </row>
    <row r="30" spans="1:19">
      <c r="A30" s="1"/>
      <c r="B30" s="1"/>
      <c r="C30" s="1"/>
      <c r="D30" s="1">
        <v>1.244</v>
      </c>
      <c r="E30" s="1">
        <v>800</v>
      </c>
      <c r="F30" s="1">
        <v>293.44</v>
      </c>
      <c r="G30" s="1">
        <v>302.11</v>
      </c>
      <c r="H30" s="1">
        <v>19067</v>
      </c>
      <c r="I30" s="1">
        <v>77.290000000000006</v>
      </c>
      <c r="J30" s="1">
        <f t="shared" si="0"/>
        <v>18989.71</v>
      </c>
      <c r="K30" s="1">
        <v>305.45</v>
      </c>
      <c r="L30" s="1">
        <f t="shared" si="1"/>
        <v>18.900400000000001</v>
      </c>
      <c r="M30" s="1">
        <v>9.4502000000000006</v>
      </c>
      <c r="N30" s="1">
        <v>305.92</v>
      </c>
      <c r="O30" s="1">
        <v>309.35000000000002</v>
      </c>
      <c r="P30" s="1">
        <v>305.45</v>
      </c>
      <c r="Q30" s="1"/>
      <c r="R30" s="1"/>
      <c r="S30" s="1"/>
    </row>
    <row r="31" spans="1:1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>
      <c r="A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>
      <c r="A33" t="s">
        <v>19</v>
      </c>
      <c r="B33" t="s">
        <v>20</v>
      </c>
      <c r="C33" t="s">
        <v>21</v>
      </c>
      <c r="D33" s="1" t="s">
        <v>0</v>
      </c>
      <c r="E33" s="1"/>
      <c r="F33" s="1" t="s">
        <v>2</v>
      </c>
      <c r="G33" s="1" t="s">
        <v>3</v>
      </c>
      <c r="H33" s="1" t="s">
        <v>4</v>
      </c>
      <c r="I33" s="1" t="s">
        <v>5</v>
      </c>
      <c r="J33" s="1" t="s">
        <v>6</v>
      </c>
      <c r="K33" s="1" t="s">
        <v>7</v>
      </c>
      <c r="L33" s="1" t="s">
        <v>8</v>
      </c>
      <c r="M33" s="1"/>
      <c r="N33" s="1" t="s">
        <v>9</v>
      </c>
      <c r="O33" s="1" t="s">
        <v>10</v>
      </c>
      <c r="P33" s="1" t="s">
        <v>11</v>
      </c>
      <c r="Q33" s="1" t="s">
        <v>12</v>
      </c>
      <c r="R33" s="1" t="s">
        <v>13</v>
      </c>
      <c r="S33" s="1" t="s">
        <v>14</v>
      </c>
    </row>
    <row r="34" spans="1:19">
      <c r="A34" s="1">
        <v>5</v>
      </c>
      <c r="B34" s="1">
        <v>0.15</v>
      </c>
      <c r="C34" s="1">
        <v>0.3</v>
      </c>
      <c r="D34" s="1">
        <v>0.38879999999999998</v>
      </c>
      <c r="E34" s="1"/>
      <c r="F34" s="1">
        <v>294.62</v>
      </c>
      <c r="G34" s="1">
        <v>321.3</v>
      </c>
      <c r="H34" s="1">
        <v>3709.1</v>
      </c>
      <c r="I34" s="1">
        <v>169.35</v>
      </c>
      <c r="J34" s="1">
        <f t="shared" si="0"/>
        <v>3539.75</v>
      </c>
      <c r="K34" s="1">
        <v>325.23</v>
      </c>
      <c r="L34" s="1">
        <f t="shared" si="1"/>
        <v>18.440799999999999</v>
      </c>
      <c r="M34" s="1">
        <v>9.2203999999999997</v>
      </c>
      <c r="N34" s="1">
        <v>325.82</v>
      </c>
      <c r="O34" s="1">
        <v>335.74</v>
      </c>
      <c r="P34" s="1">
        <v>325.23</v>
      </c>
      <c r="Q34" s="1"/>
      <c r="R34" s="1"/>
      <c r="S34" s="1"/>
    </row>
    <row r="35" spans="1:19">
      <c r="A35" s="1"/>
      <c r="B35" s="1"/>
      <c r="C35" s="1"/>
      <c r="D35" s="1">
        <v>0.46650000000000003</v>
      </c>
      <c r="E35" s="1"/>
      <c r="F35" s="1">
        <v>294.29000000000002</v>
      </c>
      <c r="G35" s="1">
        <v>316.45</v>
      </c>
      <c r="H35" s="1">
        <v>4668.5</v>
      </c>
      <c r="I35" s="1">
        <v>184.83</v>
      </c>
      <c r="J35" s="1">
        <f t="shared" si="0"/>
        <v>4483.67</v>
      </c>
      <c r="K35" s="1">
        <v>320.58999999999997</v>
      </c>
      <c r="L35" s="1">
        <f t="shared" si="1"/>
        <v>18.536999999999999</v>
      </c>
      <c r="M35" s="1">
        <v>9.2684999999999995</v>
      </c>
      <c r="N35" s="1">
        <v>321.16000000000003</v>
      </c>
      <c r="O35" s="1">
        <v>329.36</v>
      </c>
      <c r="P35" s="1">
        <v>320.58999999999997</v>
      </c>
      <c r="Q35" s="1"/>
      <c r="R35" s="1"/>
      <c r="S35" s="1"/>
    </row>
    <row r="36" spans="1:19">
      <c r="A36" s="1"/>
      <c r="B36" s="1"/>
      <c r="C36" s="1"/>
      <c r="D36" s="1">
        <v>0.54430000000000001</v>
      </c>
      <c r="E36" s="1"/>
      <c r="F36" s="1">
        <v>294.07</v>
      </c>
      <c r="G36" s="1">
        <v>313.31</v>
      </c>
      <c r="H36" s="1">
        <v>5697.7</v>
      </c>
      <c r="I36" s="1">
        <v>195.05</v>
      </c>
      <c r="J36" s="1">
        <f t="shared" si="0"/>
        <v>5502.65</v>
      </c>
      <c r="K36" s="1">
        <v>317.27</v>
      </c>
      <c r="L36" s="1">
        <f t="shared" si="1"/>
        <v>18.6266</v>
      </c>
      <c r="M36" s="1">
        <v>9.3132999999999999</v>
      </c>
      <c r="N36" s="1">
        <v>317.82</v>
      </c>
      <c r="O36" s="1">
        <v>324.95999999999998</v>
      </c>
      <c r="P36" s="1">
        <v>317.27</v>
      </c>
      <c r="Q36" s="1"/>
      <c r="R36" s="1"/>
      <c r="S36" s="1"/>
    </row>
    <row r="37" spans="1:19">
      <c r="A37" s="1"/>
      <c r="B37" s="1"/>
      <c r="C37" s="1"/>
      <c r="D37" s="1">
        <v>0.622</v>
      </c>
      <c r="E37" s="1"/>
      <c r="F37" s="1">
        <v>293.91000000000003</v>
      </c>
      <c r="G37" s="1">
        <v>310.69</v>
      </c>
      <c r="H37" s="1">
        <v>6795.9</v>
      </c>
      <c r="I37" s="1">
        <v>200.29</v>
      </c>
      <c r="J37" s="1">
        <f t="shared" si="0"/>
        <v>6595.61</v>
      </c>
      <c r="K37" s="1">
        <v>314.64999999999998</v>
      </c>
      <c r="L37" s="1">
        <f t="shared" si="1"/>
        <v>18.688400000000001</v>
      </c>
      <c r="M37" s="1">
        <v>9.3442000000000007</v>
      </c>
      <c r="N37" s="1">
        <v>315.18</v>
      </c>
      <c r="O37" s="1">
        <v>321.41000000000003</v>
      </c>
      <c r="P37" s="1">
        <v>314.64999999999998</v>
      </c>
      <c r="Q37" s="1"/>
      <c r="R37" s="1"/>
      <c r="S37" s="1"/>
    </row>
    <row r="38" spans="1:19">
      <c r="A38" s="1"/>
      <c r="B38" s="1"/>
      <c r="C38" s="1"/>
      <c r="D38" s="1">
        <v>0.69979999999999998</v>
      </c>
      <c r="E38" s="1"/>
      <c r="F38" s="1">
        <v>293.79000000000002</v>
      </c>
      <c r="G38" s="1">
        <v>308.60000000000002</v>
      </c>
      <c r="H38" s="1">
        <v>7965.8</v>
      </c>
      <c r="I38" s="1">
        <v>200.4</v>
      </c>
      <c r="J38" s="1">
        <f t="shared" si="0"/>
        <v>7765.4000000000005</v>
      </c>
      <c r="K38" s="1">
        <v>312.58999999999997</v>
      </c>
      <c r="L38" s="1">
        <f t="shared" si="1"/>
        <v>18.747199999999999</v>
      </c>
      <c r="M38" s="1">
        <v>9.3735999999999997</v>
      </c>
      <c r="N38" s="1">
        <v>313.11</v>
      </c>
      <c r="O38" s="1">
        <v>318.64</v>
      </c>
      <c r="P38" s="1">
        <v>312.58999999999997</v>
      </c>
      <c r="Q38" s="1"/>
      <c r="R38" s="1"/>
      <c r="S38" s="1"/>
    </row>
    <row r="39" spans="1:19">
      <c r="A39" s="1"/>
      <c r="B39" s="1"/>
      <c r="C39" s="1"/>
      <c r="D39" s="1">
        <v>0.77749999999999997</v>
      </c>
      <c r="E39" s="1"/>
      <c r="F39" s="1">
        <v>293.70999999999998</v>
      </c>
      <c r="G39" s="1">
        <v>307.22000000000003</v>
      </c>
      <c r="H39" s="1">
        <v>9201.4</v>
      </c>
      <c r="I39" s="1">
        <v>195</v>
      </c>
      <c r="J39" s="1">
        <f t="shared" si="0"/>
        <v>9006.4</v>
      </c>
      <c r="K39" s="1">
        <v>311.02</v>
      </c>
      <c r="L39" s="1">
        <f t="shared" si="1"/>
        <v>18.801200000000001</v>
      </c>
      <c r="M39" s="1">
        <v>9.4006000000000007</v>
      </c>
      <c r="N39" s="1">
        <v>311.54000000000002</v>
      </c>
      <c r="O39" s="1">
        <v>316.64</v>
      </c>
      <c r="P39" s="1">
        <v>311.02</v>
      </c>
      <c r="Q39" s="1"/>
      <c r="R39" s="1"/>
      <c r="S39" s="1"/>
    </row>
    <row r="40" spans="1:19">
      <c r="A40" s="1"/>
      <c r="B40" s="1"/>
      <c r="C40" s="1"/>
      <c r="D40" s="1">
        <v>0.85529999999999995</v>
      </c>
      <c r="E40" s="1"/>
      <c r="F40" s="1">
        <v>293.64</v>
      </c>
      <c r="G40" s="1">
        <v>305.92</v>
      </c>
      <c r="H40" s="1">
        <v>10506</v>
      </c>
      <c r="I40" s="1">
        <v>184.02</v>
      </c>
      <c r="J40" s="1">
        <f t="shared" si="0"/>
        <v>10321.98</v>
      </c>
      <c r="K40" s="1">
        <v>309.7</v>
      </c>
      <c r="L40" s="1">
        <f t="shared" si="1"/>
        <v>18.8462</v>
      </c>
      <c r="M40" s="1">
        <v>9.4230999999999998</v>
      </c>
      <c r="N40" s="1">
        <v>310.20999999999998</v>
      </c>
      <c r="O40" s="1">
        <v>314.89</v>
      </c>
      <c r="P40" s="1">
        <v>309.7</v>
      </c>
      <c r="Q40" s="1"/>
      <c r="R40" s="1"/>
      <c r="S40" s="1"/>
    </row>
    <row r="41" spans="1:19">
      <c r="A41" s="1"/>
      <c r="B41" s="1"/>
      <c r="C41" s="1"/>
      <c r="D41" s="1">
        <v>0.93300000000000005</v>
      </c>
      <c r="E41" s="1"/>
      <c r="F41" s="1">
        <v>293.58</v>
      </c>
      <c r="G41" s="1">
        <v>304.95999999999998</v>
      </c>
      <c r="H41" s="1">
        <v>11873</v>
      </c>
      <c r="I41" s="1">
        <v>166.86</v>
      </c>
      <c r="J41" s="1">
        <f t="shared" si="0"/>
        <v>11706.14</v>
      </c>
      <c r="K41" s="1">
        <v>308.62</v>
      </c>
      <c r="L41" s="1">
        <f t="shared" si="1"/>
        <v>18.880800000000001</v>
      </c>
      <c r="M41" s="1">
        <v>9.4404000000000003</v>
      </c>
      <c r="N41" s="1">
        <v>309.13</v>
      </c>
      <c r="O41" s="1">
        <v>313.51</v>
      </c>
      <c r="P41" s="1">
        <v>308.62</v>
      </c>
      <c r="Q41" s="1"/>
      <c r="R41" s="1"/>
      <c r="S41" s="1"/>
    </row>
    <row r="42" spans="1:19">
      <c r="A42" s="1"/>
      <c r="B42" s="1"/>
      <c r="C42" s="1"/>
      <c r="D42" s="1">
        <v>1.0107999999999999</v>
      </c>
      <c r="E42" s="1"/>
      <c r="F42" s="1">
        <v>293.54000000000002</v>
      </c>
      <c r="G42" s="1">
        <v>304.05</v>
      </c>
      <c r="H42" s="1">
        <v>13306</v>
      </c>
      <c r="I42" s="1">
        <v>143.47999999999999</v>
      </c>
      <c r="J42" s="1">
        <f t="shared" si="0"/>
        <v>13162.52</v>
      </c>
      <c r="K42" s="1">
        <v>307.68</v>
      </c>
      <c r="L42" s="1">
        <f t="shared" si="1"/>
        <v>18.908999999999999</v>
      </c>
      <c r="M42" s="1">
        <v>9.4544999999999995</v>
      </c>
      <c r="N42" s="1">
        <v>308.19</v>
      </c>
      <c r="O42" s="1">
        <v>312.27999999999997</v>
      </c>
      <c r="P42" s="1">
        <v>307.68</v>
      </c>
      <c r="Q42" s="1"/>
      <c r="R42" s="1"/>
      <c r="S42" s="1"/>
    </row>
    <row r="43" spans="1:19">
      <c r="A43" s="1"/>
      <c r="B43" s="1"/>
      <c r="C43" s="1"/>
      <c r="D43" s="1">
        <v>1.0885</v>
      </c>
      <c r="E43" s="1"/>
      <c r="F43" s="1">
        <v>293.5</v>
      </c>
      <c r="G43" s="1">
        <v>303.33</v>
      </c>
      <c r="H43" s="1">
        <v>14795</v>
      </c>
      <c r="I43" s="1">
        <v>113.25</v>
      </c>
      <c r="J43" s="1">
        <f t="shared" si="0"/>
        <v>14681.75</v>
      </c>
      <c r="K43" s="1">
        <v>306.89999999999998</v>
      </c>
      <c r="L43" s="1">
        <f t="shared" si="1"/>
        <v>18.936800000000002</v>
      </c>
      <c r="M43" s="1">
        <v>9.4684000000000008</v>
      </c>
      <c r="N43" s="1">
        <v>307.39999999999998</v>
      </c>
      <c r="O43" s="1">
        <v>311.27999999999997</v>
      </c>
      <c r="P43" s="1">
        <v>306.89999999999998</v>
      </c>
      <c r="Q43" s="1"/>
      <c r="R43" s="1"/>
      <c r="S43" s="1"/>
    </row>
    <row r="44" spans="1:19">
      <c r="A44" s="1"/>
      <c r="B44" s="1"/>
      <c r="C44" s="1"/>
      <c r="D44" s="1">
        <v>1.1662999999999999</v>
      </c>
      <c r="E44" s="1"/>
      <c r="F44" s="1">
        <v>293.47000000000003</v>
      </c>
      <c r="G44" s="1">
        <v>302.69</v>
      </c>
      <c r="H44" s="1">
        <v>16345</v>
      </c>
      <c r="I44" s="1">
        <v>76.197000000000003</v>
      </c>
      <c r="J44" s="1">
        <f t="shared" si="0"/>
        <v>16268.803</v>
      </c>
      <c r="K44" s="1">
        <v>306.22000000000003</v>
      </c>
      <c r="L44" s="1">
        <f t="shared" si="1"/>
        <v>18.9664</v>
      </c>
      <c r="M44" s="1">
        <v>9.4832000000000001</v>
      </c>
      <c r="N44" s="1">
        <v>306.72000000000003</v>
      </c>
      <c r="O44" s="1">
        <v>310.39999999999998</v>
      </c>
      <c r="P44" s="1">
        <v>306.22000000000003</v>
      </c>
      <c r="Q44" s="1"/>
      <c r="R44" s="1"/>
      <c r="S44" s="1"/>
    </row>
    <row r="45" spans="1:19">
      <c r="A45" s="1"/>
      <c r="B45" s="1"/>
      <c r="C45" s="1"/>
      <c r="D45" s="1">
        <v>1.244</v>
      </c>
      <c r="E45" s="1"/>
      <c r="F45" s="1">
        <v>293.44</v>
      </c>
      <c r="G45" s="1">
        <v>302.12</v>
      </c>
      <c r="H45" s="1">
        <v>17950</v>
      </c>
      <c r="I45" s="1">
        <v>32.582999999999998</v>
      </c>
      <c r="J45" s="1">
        <f t="shared" si="0"/>
        <v>17917.417000000001</v>
      </c>
      <c r="K45" s="1">
        <v>305.61</v>
      </c>
      <c r="L45" s="1">
        <f t="shared" si="1"/>
        <v>18.9742</v>
      </c>
      <c r="M45" s="1">
        <v>9.4870999999999999</v>
      </c>
      <c r="N45" s="1">
        <v>306.11</v>
      </c>
      <c r="O45" s="1">
        <v>309.61</v>
      </c>
      <c r="P45" s="1">
        <v>305.61</v>
      </c>
      <c r="Q45" s="1"/>
      <c r="R45" s="1"/>
      <c r="S45" s="1"/>
    </row>
    <row r="46" spans="1:1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>
      <c r="A49" t="s">
        <v>19</v>
      </c>
      <c r="B49" t="s">
        <v>20</v>
      </c>
      <c r="C49" t="s">
        <v>21</v>
      </c>
      <c r="D49" s="1" t="s">
        <v>0</v>
      </c>
      <c r="E49" s="1" t="s">
        <v>1</v>
      </c>
      <c r="F49" s="1" t="s">
        <v>2</v>
      </c>
      <c r="G49" s="1" t="s">
        <v>3</v>
      </c>
      <c r="H49" s="1" t="s">
        <v>4</v>
      </c>
      <c r="I49" s="1" t="s">
        <v>5</v>
      </c>
      <c r="J49" s="1" t="s">
        <v>6</v>
      </c>
      <c r="K49" s="1" t="s">
        <v>7</v>
      </c>
      <c r="L49" s="1" t="s">
        <v>8</v>
      </c>
      <c r="M49" s="1"/>
      <c r="N49" s="1" t="s">
        <v>9</v>
      </c>
      <c r="O49" s="1" t="s">
        <v>10</v>
      </c>
      <c r="P49" s="1" t="s">
        <v>11</v>
      </c>
      <c r="Q49" s="1" t="s">
        <v>12</v>
      </c>
      <c r="R49" s="1" t="s">
        <v>13</v>
      </c>
      <c r="S49" s="1" t="s">
        <v>14</v>
      </c>
    </row>
    <row r="50" spans="1:19">
      <c r="A50" s="1">
        <v>6.25</v>
      </c>
      <c r="B50" s="1">
        <v>0.15</v>
      </c>
      <c r="C50" s="1">
        <v>0.3</v>
      </c>
      <c r="D50" s="1">
        <v>0.38879999999999998</v>
      </c>
      <c r="E50" s="1"/>
      <c r="F50" s="1">
        <v>294.72000000000003</v>
      </c>
      <c r="G50" s="1">
        <v>321.33</v>
      </c>
      <c r="H50" s="1">
        <v>3493.8</v>
      </c>
      <c r="I50" s="1">
        <v>169.32</v>
      </c>
      <c r="J50" s="1">
        <f t="shared" si="0"/>
        <v>3324.48</v>
      </c>
      <c r="K50" s="1">
        <v>327.79</v>
      </c>
      <c r="L50" s="1">
        <f t="shared" si="1"/>
        <v>18.2606</v>
      </c>
      <c r="M50" s="1">
        <v>9.1303000000000001</v>
      </c>
      <c r="N50" s="1">
        <v>328.43</v>
      </c>
      <c r="O50" s="1">
        <v>338.68</v>
      </c>
      <c r="P50" s="1">
        <v>327.79</v>
      </c>
      <c r="Q50" s="1"/>
      <c r="R50" s="1"/>
      <c r="S50" s="1"/>
    </row>
    <row r="51" spans="1:19">
      <c r="A51" s="1"/>
      <c r="B51" s="2"/>
      <c r="C51" s="1"/>
      <c r="D51" s="1">
        <v>0.46650000000000003</v>
      </c>
      <c r="E51" s="1"/>
      <c r="F51" s="1">
        <v>294.37</v>
      </c>
      <c r="G51" s="1">
        <v>316.47000000000003</v>
      </c>
      <c r="H51" s="1">
        <v>4369.7</v>
      </c>
      <c r="I51" s="1">
        <v>184.48</v>
      </c>
      <c r="J51" s="1">
        <f t="shared" si="0"/>
        <v>4185.22</v>
      </c>
      <c r="K51" s="1">
        <v>323.17</v>
      </c>
      <c r="L51" s="1">
        <f t="shared" si="1"/>
        <v>18.365400000000001</v>
      </c>
      <c r="M51" s="1">
        <v>9.1827000000000005</v>
      </c>
      <c r="N51" s="1">
        <v>323.77999999999997</v>
      </c>
      <c r="O51" s="1">
        <v>332.31</v>
      </c>
      <c r="P51" s="1">
        <v>323.17</v>
      </c>
      <c r="Q51" s="1"/>
      <c r="R51" s="1"/>
      <c r="S51" s="1"/>
    </row>
    <row r="52" spans="1:19">
      <c r="A52" s="1"/>
      <c r="B52" s="1"/>
      <c r="C52" s="1"/>
      <c r="D52" s="1">
        <v>0.54430000000000001</v>
      </c>
      <c r="E52" s="1"/>
      <c r="F52" s="1">
        <v>294.14</v>
      </c>
      <c r="G52" s="1">
        <v>313.07</v>
      </c>
      <c r="H52" s="1">
        <v>5298.9</v>
      </c>
      <c r="I52" s="1">
        <v>194.44</v>
      </c>
      <c r="J52" s="1">
        <f t="shared" si="0"/>
        <v>5104.46</v>
      </c>
      <c r="K52" s="1">
        <v>319.74</v>
      </c>
      <c r="L52" s="1">
        <f t="shared" si="1"/>
        <v>18.462800000000001</v>
      </c>
      <c r="M52" s="1">
        <v>9.2314000000000007</v>
      </c>
      <c r="N52" s="1">
        <v>320.33</v>
      </c>
      <c r="O52" s="1">
        <v>327.66000000000003</v>
      </c>
      <c r="P52" s="1">
        <v>319.74</v>
      </c>
      <c r="Q52" s="1"/>
      <c r="R52" s="1"/>
      <c r="S52" s="1"/>
    </row>
    <row r="53" spans="1:19">
      <c r="A53" s="1"/>
      <c r="B53" s="1"/>
      <c r="C53" s="1"/>
      <c r="D53" s="1">
        <v>0.622</v>
      </c>
      <c r="E53" s="1"/>
      <c r="F53" s="1">
        <v>293.98</v>
      </c>
      <c r="G53" s="1">
        <v>310.45</v>
      </c>
      <c r="H53" s="1">
        <v>6278.8</v>
      </c>
      <c r="I53" s="1">
        <v>199.1</v>
      </c>
      <c r="J53" s="1">
        <f t="shared" si="0"/>
        <v>6079.7</v>
      </c>
      <c r="K53" s="1">
        <v>317.02</v>
      </c>
      <c r="L53" s="1">
        <f t="shared" si="1"/>
        <v>18.540800000000001</v>
      </c>
      <c r="M53" s="1">
        <v>9.2704000000000004</v>
      </c>
      <c r="N53" s="1">
        <v>317.60000000000002</v>
      </c>
      <c r="O53" s="1">
        <v>323.97000000000003</v>
      </c>
      <c r="P53" s="1">
        <v>317.02</v>
      </c>
      <c r="Q53" s="1"/>
      <c r="R53" s="1"/>
      <c r="S53" s="1"/>
    </row>
    <row r="54" spans="1:19">
      <c r="A54" s="1"/>
      <c r="B54" s="1"/>
      <c r="C54" s="1"/>
      <c r="D54" s="1">
        <v>0.69979999999999998</v>
      </c>
      <c r="E54" s="1"/>
      <c r="F54" s="1">
        <v>293.85000000000002</v>
      </c>
      <c r="G54" s="1">
        <v>308.74</v>
      </c>
      <c r="H54" s="1">
        <v>7311.3</v>
      </c>
      <c r="I54" s="1">
        <v>198.19</v>
      </c>
      <c r="J54" s="1">
        <f t="shared" si="0"/>
        <v>7113.1100000000006</v>
      </c>
      <c r="K54" s="1">
        <v>314.92</v>
      </c>
      <c r="L54" s="1">
        <f t="shared" si="1"/>
        <v>18.6082</v>
      </c>
      <c r="M54" s="1">
        <v>9.3041</v>
      </c>
      <c r="N54" s="1">
        <v>315.48</v>
      </c>
      <c r="O54" s="1">
        <v>321.24</v>
      </c>
      <c r="P54" s="1">
        <v>314.92</v>
      </c>
      <c r="Q54" s="1"/>
      <c r="R54" s="1"/>
      <c r="S54" s="1"/>
    </row>
    <row r="55" spans="1:19">
      <c r="A55" s="1"/>
      <c r="B55" s="1"/>
      <c r="C55" s="1"/>
      <c r="D55" s="1">
        <v>0.77749999999999997</v>
      </c>
      <c r="E55" s="1"/>
      <c r="F55" s="1">
        <v>293.76</v>
      </c>
      <c r="G55" s="1">
        <v>307.10000000000002</v>
      </c>
      <c r="H55" s="1">
        <v>8397.6</v>
      </c>
      <c r="I55" s="1">
        <v>192.17</v>
      </c>
      <c r="J55" s="1">
        <f t="shared" si="0"/>
        <v>8205.43</v>
      </c>
      <c r="K55" s="1">
        <v>313.10000000000002</v>
      </c>
      <c r="L55" s="1">
        <f t="shared" si="1"/>
        <v>18.659800000000001</v>
      </c>
      <c r="M55" s="1">
        <v>9.3299000000000003</v>
      </c>
      <c r="N55" s="1">
        <v>313.64999999999998</v>
      </c>
      <c r="O55" s="1">
        <v>318.79000000000002</v>
      </c>
      <c r="P55" s="1">
        <v>313.10000000000002</v>
      </c>
      <c r="Q55" s="1"/>
      <c r="R55" s="1"/>
      <c r="S55" s="1"/>
    </row>
    <row r="56" spans="1:19">
      <c r="A56" s="1"/>
      <c r="B56" s="1"/>
      <c r="C56" s="1"/>
      <c r="D56" s="1">
        <v>0.85529999999999995</v>
      </c>
      <c r="E56" s="1"/>
      <c r="F56" s="1">
        <v>293.68</v>
      </c>
      <c r="G56" s="1">
        <v>306.23</v>
      </c>
      <c r="H56" s="1">
        <v>9537.4</v>
      </c>
      <c r="I56" s="1">
        <v>180.13</v>
      </c>
      <c r="J56" s="1">
        <f t="shared" si="0"/>
        <v>9357.27</v>
      </c>
      <c r="K56" s="1">
        <v>311.70999999999998</v>
      </c>
      <c r="L56" s="1">
        <f t="shared" si="1"/>
        <v>18.704999999999998</v>
      </c>
      <c r="M56" s="1">
        <v>9.3524999999999991</v>
      </c>
      <c r="N56" s="1">
        <v>312.26</v>
      </c>
      <c r="O56" s="1">
        <v>317.10000000000002</v>
      </c>
      <c r="P56" s="1">
        <v>311.70999999999998</v>
      </c>
      <c r="Q56" s="1"/>
      <c r="R56" s="1"/>
      <c r="S56" s="1"/>
    </row>
    <row r="57" spans="1:19">
      <c r="A57" s="1"/>
      <c r="B57" s="1"/>
      <c r="C57" s="1"/>
      <c r="D57" s="1">
        <v>0.93300000000000005</v>
      </c>
      <c r="E57" s="1"/>
      <c r="F57" s="1">
        <v>293.62</v>
      </c>
      <c r="G57" s="1">
        <v>304.83999999999997</v>
      </c>
      <c r="H57" s="1">
        <v>10735</v>
      </c>
      <c r="I57" s="1">
        <v>163.46</v>
      </c>
      <c r="J57" s="1">
        <f t="shared" si="0"/>
        <v>10571.54</v>
      </c>
      <c r="K57" s="1">
        <v>310.38</v>
      </c>
      <c r="L57" s="1">
        <f t="shared" si="1"/>
        <v>18.747800000000002</v>
      </c>
      <c r="M57" s="1">
        <v>9.3739000000000008</v>
      </c>
      <c r="N57" s="1">
        <v>310.92</v>
      </c>
      <c r="O57" s="1">
        <v>315.25</v>
      </c>
      <c r="P57" s="1">
        <v>310.38</v>
      </c>
      <c r="Q57" s="1"/>
      <c r="R57" s="1"/>
      <c r="S57" s="1"/>
    </row>
    <row r="58" spans="1:19">
      <c r="A58" s="1"/>
      <c r="B58" s="1"/>
      <c r="C58" s="1"/>
      <c r="D58" s="1">
        <v>1.0107999999999999</v>
      </c>
      <c r="E58" s="1"/>
      <c r="F58" s="1">
        <v>293.58</v>
      </c>
      <c r="G58" s="1">
        <v>304.01</v>
      </c>
      <c r="H58" s="1">
        <v>11986</v>
      </c>
      <c r="I58" s="1">
        <v>140.63</v>
      </c>
      <c r="J58" s="1">
        <f t="shared" si="0"/>
        <v>11845.37</v>
      </c>
      <c r="K58" s="1">
        <v>309.33</v>
      </c>
      <c r="L58" s="1">
        <f t="shared" si="1"/>
        <v>18.776</v>
      </c>
      <c r="M58" s="1">
        <v>9.3879999999999999</v>
      </c>
      <c r="N58" s="1">
        <v>309.86</v>
      </c>
      <c r="O58" s="1">
        <v>313.89999999999998</v>
      </c>
      <c r="P58" s="1">
        <v>309.33</v>
      </c>
      <c r="Q58" s="1"/>
      <c r="R58" s="1"/>
      <c r="S58" s="1"/>
    </row>
    <row r="59" spans="1:19">
      <c r="A59" s="1"/>
      <c r="B59" s="1"/>
      <c r="C59" s="1"/>
      <c r="D59" s="1">
        <v>1.0885</v>
      </c>
      <c r="E59" s="1"/>
      <c r="F59" s="1">
        <v>293.52999999999997</v>
      </c>
      <c r="G59" s="1">
        <v>303.18</v>
      </c>
      <c r="H59" s="1">
        <v>13293</v>
      </c>
      <c r="I59" s="1">
        <v>112.31</v>
      </c>
      <c r="J59" s="1">
        <f t="shared" si="0"/>
        <v>13180.69</v>
      </c>
      <c r="K59" s="1">
        <v>308.39999999999998</v>
      </c>
      <c r="L59" s="1">
        <f t="shared" si="1"/>
        <v>18.8154</v>
      </c>
      <c r="M59" s="1">
        <v>9.4077000000000002</v>
      </c>
      <c r="N59" s="1">
        <v>308.93</v>
      </c>
      <c r="O59" s="1">
        <v>312.69</v>
      </c>
      <c r="P59" s="1">
        <v>308.39999999999998</v>
      </c>
      <c r="Q59" s="1"/>
      <c r="R59" s="1"/>
      <c r="S59" s="1"/>
    </row>
    <row r="60" spans="1:19">
      <c r="A60" s="1"/>
      <c r="B60" s="1"/>
      <c r="C60" s="1"/>
      <c r="D60" s="1">
        <v>1.1662999999999999</v>
      </c>
      <c r="E60" s="1"/>
      <c r="F60" s="1">
        <v>293.5</v>
      </c>
      <c r="G60" s="1">
        <v>302.58</v>
      </c>
      <c r="H60" s="1">
        <v>14653</v>
      </c>
      <c r="I60" s="1">
        <v>77.667000000000002</v>
      </c>
      <c r="J60" s="1">
        <f t="shared" si="0"/>
        <v>14575.333000000001</v>
      </c>
      <c r="K60" s="1">
        <v>307.61</v>
      </c>
      <c r="L60" s="1">
        <f t="shared" si="1"/>
        <v>18.836200000000002</v>
      </c>
      <c r="M60" s="1">
        <v>9.4181000000000008</v>
      </c>
      <c r="N60" s="1">
        <v>308.13</v>
      </c>
      <c r="O60" s="1">
        <v>311.69</v>
      </c>
      <c r="P60" s="1">
        <v>307.61</v>
      </c>
      <c r="Q60" s="1"/>
      <c r="R60" s="1"/>
      <c r="S60" s="1"/>
    </row>
    <row r="61" spans="1:19">
      <c r="A61" s="1"/>
      <c r="B61" s="1"/>
      <c r="C61" s="1"/>
      <c r="D61" s="1">
        <v>1.244</v>
      </c>
      <c r="E61" s="1"/>
      <c r="F61" s="1">
        <v>293.47000000000003</v>
      </c>
      <c r="G61" s="1">
        <v>302.05</v>
      </c>
      <c r="H61" s="1">
        <v>16064</v>
      </c>
      <c r="I61" s="1">
        <v>36.58</v>
      </c>
      <c r="J61" s="1">
        <f t="shared" si="0"/>
        <v>16027.42</v>
      </c>
      <c r="K61" s="1">
        <v>306.92</v>
      </c>
      <c r="L61" s="1">
        <f t="shared" si="1"/>
        <v>18.856999999999999</v>
      </c>
      <c r="M61" s="1">
        <v>9.4284999999999997</v>
      </c>
      <c r="N61" s="1">
        <v>307.44</v>
      </c>
      <c r="O61" s="1">
        <v>310.82</v>
      </c>
      <c r="P61" s="1">
        <v>306.92</v>
      </c>
      <c r="Q61" s="1"/>
      <c r="R61" s="1"/>
      <c r="S61" s="1"/>
    </row>
    <row r="62" spans="1:1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>
      <c r="A65" t="s">
        <v>19</v>
      </c>
      <c r="B65" t="s">
        <v>20</v>
      </c>
      <c r="C65" t="s">
        <v>21</v>
      </c>
      <c r="D65" s="1" t="s">
        <v>0</v>
      </c>
      <c r="E65" s="1" t="s">
        <v>1</v>
      </c>
      <c r="F65" s="1" t="s">
        <v>2</v>
      </c>
      <c r="G65" s="1" t="s">
        <v>3</v>
      </c>
      <c r="H65" s="1" t="s">
        <v>4</v>
      </c>
      <c r="I65" s="1" t="s">
        <v>5</v>
      </c>
      <c r="J65" s="1" t="s">
        <v>6</v>
      </c>
      <c r="K65" s="1" t="s">
        <v>7</v>
      </c>
      <c r="L65" s="1" t="s">
        <v>8</v>
      </c>
      <c r="M65" s="1"/>
      <c r="N65" s="1" t="s">
        <v>9</v>
      </c>
      <c r="O65" s="1" t="s">
        <v>10</v>
      </c>
      <c r="P65" s="1" t="s">
        <v>11</v>
      </c>
      <c r="Q65" s="1" t="s">
        <v>12</v>
      </c>
      <c r="R65" s="1" t="s">
        <v>13</v>
      </c>
      <c r="S65" s="1" t="s">
        <v>14</v>
      </c>
    </row>
    <row r="66" spans="1:19">
      <c r="A66" s="1">
        <v>8.33</v>
      </c>
      <c r="B66" s="1">
        <v>0.15</v>
      </c>
      <c r="C66" s="1">
        <v>0.3</v>
      </c>
      <c r="D66" s="1">
        <v>0.38879999999999998</v>
      </c>
      <c r="E66" s="1"/>
      <c r="F66" s="1">
        <v>294.77</v>
      </c>
      <c r="G66" s="1">
        <v>321.27</v>
      </c>
      <c r="H66" s="1">
        <v>3286.9</v>
      </c>
      <c r="I66" s="1">
        <v>171.61</v>
      </c>
      <c r="J66" s="1">
        <f t="shared" si="0"/>
        <v>3115.29</v>
      </c>
      <c r="K66" s="1">
        <v>329.35</v>
      </c>
      <c r="L66" s="1">
        <f t="shared" si="1"/>
        <v>18.139800000000001</v>
      </c>
      <c r="M66" s="1">
        <v>9.0699000000000005</v>
      </c>
      <c r="N66" s="1">
        <v>330.1</v>
      </c>
      <c r="O66" s="1">
        <v>340.54</v>
      </c>
      <c r="P66" s="1">
        <v>329.35</v>
      </c>
      <c r="Q66" s="1"/>
      <c r="R66" s="1"/>
      <c r="S66" s="1"/>
    </row>
    <row r="67" spans="1:19">
      <c r="A67" s="1"/>
      <c r="B67" s="1"/>
      <c r="C67" s="1"/>
      <c r="D67" s="1">
        <v>0.46650000000000003</v>
      </c>
      <c r="E67" s="1"/>
      <c r="F67" s="1">
        <v>294.41000000000003</v>
      </c>
      <c r="G67" s="1">
        <v>316.5</v>
      </c>
      <c r="H67" s="1">
        <v>4094.1</v>
      </c>
      <c r="I67" s="1">
        <v>188.84</v>
      </c>
      <c r="J67" s="1">
        <f t="shared" si="0"/>
        <v>3905.2599999999998</v>
      </c>
      <c r="K67" s="1">
        <v>324.82</v>
      </c>
      <c r="L67" s="1">
        <f t="shared" si="1"/>
        <v>18.2316</v>
      </c>
      <c r="M67" s="1">
        <v>9.1158000000000001</v>
      </c>
      <c r="N67" s="1">
        <v>325.52999999999997</v>
      </c>
      <c r="O67" s="1">
        <v>334.2</v>
      </c>
      <c r="P67" s="1">
        <v>324.82</v>
      </c>
      <c r="Q67" s="1"/>
      <c r="R67" s="1"/>
      <c r="S67" s="1"/>
    </row>
    <row r="68" spans="1:19">
      <c r="A68" s="1"/>
      <c r="B68" s="1"/>
      <c r="C68" s="1"/>
      <c r="D68" s="1">
        <v>0.54430000000000001</v>
      </c>
      <c r="E68" s="1"/>
      <c r="F68" s="1">
        <v>294.18</v>
      </c>
      <c r="G68" s="1">
        <v>313.07</v>
      </c>
      <c r="H68" s="1">
        <v>4944.3</v>
      </c>
      <c r="I68" s="1">
        <v>202.39</v>
      </c>
      <c r="J68" s="1">
        <f t="shared" si="0"/>
        <v>4741.91</v>
      </c>
      <c r="K68" s="1">
        <v>321.42</v>
      </c>
      <c r="L68" s="1">
        <f t="shared" si="1"/>
        <v>18.3094</v>
      </c>
      <c r="M68" s="1">
        <v>9.1547000000000001</v>
      </c>
      <c r="N68" s="1">
        <v>322.10000000000002</v>
      </c>
      <c r="O68" s="1">
        <v>329.58</v>
      </c>
      <c r="P68" s="1">
        <v>321.42</v>
      </c>
      <c r="Q68" s="1"/>
      <c r="R68" s="1"/>
      <c r="S68" s="1"/>
    </row>
    <row r="69" spans="1:19">
      <c r="A69" s="1"/>
      <c r="B69" s="1"/>
      <c r="C69" s="2"/>
      <c r="D69" s="1">
        <v>0.622</v>
      </c>
      <c r="E69" s="1"/>
      <c r="F69" s="1">
        <v>294.01</v>
      </c>
      <c r="G69" s="1">
        <v>310.49</v>
      </c>
      <c r="H69" s="1">
        <v>5833.6</v>
      </c>
      <c r="I69" s="1">
        <v>212.37</v>
      </c>
      <c r="J69" s="1">
        <f t="shared" ref="J69:J77" si="2">H69-I69</f>
        <v>5621.2300000000005</v>
      </c>
      <c r="K69" s="1">
        <v>318.76</v>
      </c>
      <c r="L69" s="1">
        <f t="shared" ref="L69:L77" si="3">M69*2</f>
        <v>18.379799999999999</v>
      </c>
      <c r="M69" s="1">
        <v>9.1898999999999997</v>
      </c>
      <c r="N69" s="1">
        <v>319.42</v>
      </c>
      <c r="O69" s="1">
        <v>326.02</v>
      </c>
      <c r="P69" s="1">
        <v>318.76</v>
      </c>
      <c r="Q69" s="1"/>
      <c r="R69" s="1"/>
      <c r="S69" s="1"/>
    </row>
    <row r="70" spans="1:19">
      <c r="A70" s="1"/>
      <c r="B70" s="1"/>
      <c r="C70" s="1"/>
      <c r="D70" s="1">
        <v>0.69979999999999998</v>
      </c>
      <c r="E70" s="1"/>
      <c r="F70" s="1">
        <v>293.88</v>
      </c>
      <c r="G70" s="1">
        <v>308.45999999999998</v>
      </c>
      <c r="H70" s="1">
        <v>6763.6</v>
      </c>
      <c r="I70" s="1">
        <v>218.86</v>
      </c>
      <c r="J70" s="1">
        <f t="shared" si="2"/>
        <v>6544.7400000000007</v>
      </c>
      <c r="K70" s="1">
        <v>316.61</v>
      </c>
      <c r="L70" s="1">
        <f t="shared" si="3"/>
        <v>18.445399999999999</v>
      </c>
      <c r="M70" s="1">
        <v>9.2226999999999997</v>
      </c>
      <c r="N70" s="1">
        <v>317.25</v>
      </c>
      <c r="O70" s="1">
        <v>323.16000000000003</v>
      </c>
      <c r="P70" s="1">
        <v>316.61</v>
      </c>
      <c r="Q70" s="1"/>
      <c r="R70" s="1"/>
      <c r="S70" s="1"/>
    </row>
    <row r="71" spans="1:19">
      <c r="A71" s="1"/>
      <c r="B71" s="1"/>
      <c r="C71" s="1"/>
      <c r="D71" s="1">
        <v>0.77749999999999997</v>
      </c>
      <c r="E71" s="1"/>
      <c r="F71" s="1">
        <v>293.77999999999997</v>
      </c>
      <c r="G71" s="1">
        <v>307.14</v>
      </c>
      <c r="H71" s="1">
        <v>7729.5</v>
      </c>
      <c r="I71" s="1">
        <v>221.15</v>
      </c>
      <c r="J71" s="1">
        <f t="shared" si="2"/>
        <v>7508.35</v>
      </c>
      <c r="K71" s="1">
        <v>314.91000000000003</v>
      </c>
      <c r="L71" s="1">
        <f t="shared" si="3"/>
        <v>18.5136</v>
      </c>
      <c r="M71" s="1">
        <v>9.2568000000000001</v>
      </c>
      <c r="N71" s="1">
        <v>315.55</v>
      </c>
      <c r="O71" s="1">
        <v>320.99</v>
      </c>
      <c r="P71" s="1">
        <v>314.91000000000003</v>
      </c>
      <c r="Q71" s="1"/>
      <c r="R71" s="1"/>
      <c r="S71" s="1"/>
    </row>
    <row r="72" spans="1:19">
      <c r="A72" s="1"/>
      <c r="B72" s="1"/>
      <c r="C72" s="1"/>
      <c r="D72" s="1">
        <v>0.85529999999999995</v>
      </c>
      <c r="E72" s="1"/>
      <c r="F72" s="1">
        <v>293.70999999999998</v>
      </c>
      <c r="G72" s="1">
        <v>305.81</v>
      </c>
      <c r="H72" s="1">
        <v>8737.7000000000007</v>
      </c>
      <c r="I72" s="1">
        <v>220.03</v>
      </c>
      <c r="J72" s="1">
        <f t="shared" si="2"/>
        <v>8517.67</v>
      </c>
      <c r="K72" s="1">
        <v>313.39999999999998</v>
      </c>
      <c r="L72" s="1">
        <f t="shared" si="3"/>
        <v>18.568200000000001</v>
      </c>
      <c r="M72" s="1">
        <v>9.2841000000000005</v>
      </c>
      <c r="N72" s="1">
        <v>314.02</v>
      </c>
      <c r="O72" s="1">
        <v>319</v>
      </c>
      <c r="P72" s="1">
        <v>313.39999999999998</v>
      </c>
      <c r="Q72" s="1"/>
      <c r="R72" s="1"/>
      <c r="S72" s="1"/>
    </row>
    <row r="73" spans="1:19">
      <c r="A73" s="1"/>
      <c r="B73" s="1"/>
      <c r="C73" s="1"/>
      <c r="D73" s="1">
        <v>0.93300000000000005</v>
      </c>
      <c r="E73" s="1"/>
      <c r="F73" s="1">
        <v>293.64999999999998</v>
      </c>
      <c r="G73" s="1">
        <v>304.89</v>
      </c>
      <c r="H73" s="1">
        <v>9783</v>
      </c>
      <c r="I73" s="1">
        <v>214.36</v>
      </c>
      <c r="J73" s="1">
        <f t="shared" si="2"/>
        <v>9568.64</v>
      </c>
      <c r="K73" s="1">
        <v>312.14</v>
      </c>
      <c r="L73" s="1">
        <f t="shared" si="3"/>
        <v>18.625599999999999</v>
      </c>
      <c r="M73" s="1">
        <v>9.3127999999999993</v>
      </c>
      <c r="N73" s="1">
        <v>312.76</v>
      </c>
      <c r="O73" s="1">
        <v>317.39</v>
      </c>
      <c r="P73" s="1">
        <v>312.14</v>
      </c>
      <c r="Q73" s="1"/>
      <c r="R73" s="1"/>
      <c r="S73" s="1"/>
    </row>
    <row r="74" spans="1:19">
      <c r="A74" s="1"/>
      <c r="B74" s="1"/>
      <c r="C74" s="1"/>
      <c r="D74" s="1">
        <v>1.0107999999999999</v>
      </c>
      <c r="E74" s="1"/>
      <c r="F74" s="1">
        <v>293.60000000000002</v>
      </c>
      <c r="G74" s="1">
        <v>303.95999999999998</v>
      </c>
      <c r="H74" s="1">
        <v>10872</v>
      </c>
      <c r="I74" s="1">
        <v>205.09</v>
      </c>
      <c r="J74" s="1">
        <f t="shared" si="2"/>
        <v>10666.91</v>
      </c>
      <c r="K74" s="1">
        <v>311.01</v>
      </c>
      <c r="L74" s="1">
        <f t="shared" si="3"/>
        <v>18.672000000000001</v>
      </c>
      <c r="M74" s="1">
        <v>9.3360000000000003</v>
      </c>
      <c r="N74" s="1">
        <v>311.62</v>
      </c>
      <c r="O74" s="1">
        <v>315.91000000000003</v>
      </c>
      <c r="P74" s="1">
        <v>311.01</v>
      </c>
      <c r="Q74" s="1"/>
      <c r="R74" s="1"/>
      <c r="S74" s="1"/>
    </row>
    <row r="75" spans="1:19">
      <c r="A75" s="1"/>
      <c r="B75" s="1"/>
      <c r="C75" s="1"/>
      <c r="D75" s="1">
        <v>1.0885</v>
      </c>
      <c r="E75" s="1"/>
      <c r="F75" s="1">
        <v>293.55</v>
      </c>
      <c r="G75" s="1">
        <v>303.41000000000003</v>
      </c>
      <c r="H75" s="1">
        <v>12000</v>
      </c>
      <c r="I75" s="1">
        <v>190.08</v>
      </c>
      <c r="J75" s="1">
        <f t="shared" si="2"/>
        <v>11809.92</v>
      </c>
      <c r="K75" s="1">
        <v>310.05</v>
      </c>
      <c r="L75" s="1">
        <f t="shared" si="3"/>
        <v>18.716200000000001</v>
      </c>
      <c r="M75" s="1">
        <v>9.3581000000000003</v>
      </c>
      <c r="N75" s="1">
        <v>310.66000000000003</v>
      </c>
      <c r="O75" s="1">
        <v>314.73</v>
      </c>
      <c r="P75" s="1">
        <v>310.05</v>
      </c>
      <c r="Q75" s="1"/>
      <c r="R75" s="1"/>
      <c r="S75" s="1"/>
    </row>
    <row r="76" spans="1:19">
      <c r="A76" s="1"/>
      <c r="B76" s="1"/>
      <c r="C76" s="1"/>
      <c r="D76" s="1">
        <v>1.1662999999999999</v>
      </c>
      <c r="E76" s="1"/>
      <c r="F76" s="1">
        <v>293.52</v>
      </c>
      <c r="G76" s="1">
        <v>302.70999999999998</v>
      </c>
      <c r="H76" s="1">
        <v>13176</v>
      </c>
      <c r="I76" s="1">
        <v>172.11</v>
      </c>
      <c r="J76" s="1">
        <f t="shared" si="2"/>
        <v>13003.89</v>
      </c>
      <c r="K76" s="1">
        <v>309.14999999999998</v>
      </c>
      <c r="L76" s="1">
        <f t="shared" si="3"/>
        <v>18.744</v>
      </c>
      <c r="M76" s="1">
        <v>9.3719999999999999</v>
      </c>
      <c r="N76" s="1">
        <v>309.75</v>
      </c>
      <c r="O76" s="1">
        <v>313.56</v>
      </c>
      <c r="P76" s="1">
        <v>309.14999999999998</v>
      </c>
      <c r="Q76" s="1"/>
      <c r="R76" s="1"/>
      <c r="S76" s="1"/>
    </row>
    <row r="77" spans="1:19">
      <c r="A77" s="1"/>
      <c r="B77" s="1"/>
      <c r="C77" s="1"/>
      <c r="D77" s="1">
        <v>1.244</v>
      </c>
      <c r="E77" s="1"/>
      <c r="F77" s="1">
        <v>293.49</v>
      </c>
      <c r="G77" s="1">
        <v>302.05</v>
      </c>
      <c r="H77" s="1">
        <v>14393</v>
      </c>
      <c r="I77" s="1">
        <v>150.36000000000001</v>
      </c>
      <c r="J77" s="1">
        <f t="shared" si="2"/>
        <v>14242.64</v>
      </c>
      <c r="K77" s="1">
        <v>308.37</v>
      </c>
      <c r="L77" s="1">
        <f t="shared" si="3"/>
        <v>18.7834</v>
      </c>
      <c r="M77" s="1">
        <v>9.3917000000000002</v>
      </c>
      <c r="N77" s="1">
        <v>308.95999999999998</v>
      </c>
      <c r="O77" s="1">
        <v>312.54000000000002</v>
      </c>
      <c r="P77" s="1">
        <v>308.37</v>
      </c>
      <c r="Q77" s="1"/>
      <c r="R77" s="1"/>
      <c r="S77" s="1"/>
    </row>
    <row r="78" spans="1:19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C4BDA-000C-46B1-A7EB-BE321D1E93B8}">
  <dimension ref="A2:S90"/>
  <sheetViews>
    <sheetView topLeftCell="A41" workbookViewId="0">
      <selection activeCell="D34" sqref="D34:D45"/>
    </sheetView>
  </sheetViews>
  <sheetFormatPr defaultRowHeight="15"/>
  <cols>
    <col min="1" max="1" width="13.28515625" bestFit="1" customWidth="1"/>
    <col min="2" max="2" width="15.85546875" bestFit="1" customWidth="1"/>
    <col min="3" max="3" width="15.5703125" bestFit="1" customWidth="1"/>
  </cols>
  <sheetData>
    <row r="2" spans="1:19">
      <c r="A2" t="s">
        <v>19</v>
      </c>
      <c r="B2" t="s">
        <v>20</v>
      </c>
      <c r="C2" t="s">
        <v>21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 s="1">
        <v>5</v>
      </c>
      <c r="B3" s="1">
        <v>0.15</v>
      </c>
      <c r="C3" s="1">
        <v>0</v>
      </c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/>
      <c r="N3" s="1" t="s">
        <v>9</v>
      </c>
      <c r="O3" s="1" t="s">
        <v>10</v>
      </c>
      <c r="P3" s="1" t="s">
        <v>11</v>
      </c>
      <c r="Q3" s="1" t="s">
        <v>12</v>
      </c>
      <c r="R3" s="1" t="s">
        <v>13</v>
      </c>
      <c r="S3" s="1" t="s">
        <v>14</v>
      </c>
    </row>
    <row r="4" spans="1:19">
      <c r="B4" s="1"/>
      <c r="C4" s="1"/>
      <c r="D4" s="1">
        <v>0.38879999999999998</v>
      </c>
      <c r="E4" s="1">
        <v>250</v>
      </c>
      <c r="F4" s="1">
        <v>295.42</v>
      </c>
      <c r="G4" s="1">
        <v>321.2</v>
      </c>
      <c r="H4" s="1">
        <v>2670.7</v>
      </c>
      <c r="I4" s="1">
        <v>149.66</v>
      </c>
      <c r="J4" s="1">
        <f>H4-I4</f>
        <v>2521.04</v>
      </c>
      <c r="K4" s="1">
        <v>341.89</v>
      </c>
      <c r="L4" s="1">
        <f>M4*2</f>
        <v>17.405200000000001</v>
      </c>
      <c r="M4" s="1">
        <v>8.7026000000000003</v>
      </c>
      <c r="N4" s="1">
        <v>342.27</v>
      </c>
      <c r="O4" s="1">
        <v>353.33</v>
      </c>
      <c r="P4" s="1">
        <v>341.89</v>
      </c>
      <c r="Q4" s="1"/>
      <c r="R4" s="1"/>
      <c r="S4" s="1"/>
    </row>
    <row r="5" spans="1:19">
      <c r="B5" s="1"/>
      <c r="C5" s="1"/>
      <c r="D5" s="1">
        <v>0.46650000000000003</v>
      </c>
      <c r="E5" s="1">
        <v>300</v>
      </c>
      <c r="F5" s="1">
        <v>294.91000000000003</v>
      </c>
      <c r="G5" s="1">
        <v>316.41000000000003</v>
      </c>
      <c r="H5" s="1">
        <v>3304.1</v>
      </c>
      <c r="I5" s="1">
        <v>152.62</v>
      </c>
      <c r="J5" s="1">
        <f>H5-I5</f>
        <v>3151.48</v>
      </c>
      <c r="K5" s="1">
        <v>335.54</v>
      </c>
      <c r="L5" s="1">
        <f>M5*2</f>
        <v>17.572800000000001</v>
      </c>
      <c r="M5" s="1">
        <v>8.7864000000000004</v>
      </c>
      <c r="N5" s="1">
        <v>335.92</v>
      </c>
      <c r="O5" s="1">
        <v>345.29</v>
      </c>
      <c r="P5" s="1">
        <v>335.54</v>
      </c>
      <c r="Q5" s="1"/>
      <c r="R5" s="1"/>
      <c r="S5" s="1"/>
    </row>
    <row r="6" spans="1:19">
      <c r="B6" s="1"/>
      <c r="C6" s="1"/>
      <c r="D6" s="1">
        <v>0.54430000000000001</v>
      </c>
      <c r="E6" s="1">
        <v>350</v>
      </c>
      <c r="F6" s="1">
        <v>294.56</v>
      </c>
      <c r="G6" s="1">
        <v>312.89999999999998</v>
      </c>
      <c r="H6" s="1">
        <v>3974.3</v>
      </c>
      <c r="I6" s="1">
        <v>148.41</v>
      </c>
      <c r="J6" s="1">
        <f t="shared" ref="J6:J69" si="0">H6-I6</f>
        <v>3825.8900000000003</v>
      </c>
      <c r="K6" s="1">
        <v>330.56</v>
      </c>
      <c r="L6" s="1">
        <f t="shared" ref="L6:L69" si="1">M6*2</f>
        <v>17.721599999999999</v>
      </c>
      <c r="M6" s="1">
        <v>8.8607999999999993</v>
      </c>
      <c r="N6" s="1">
        <v>330.93</v>
      </c>
      <c r="O6" s="1">
        <v>339.01</v>
      </c>
      <c r="P6" s="1">
        <v>330.56</v>
      </c>
      <c r="Q6" s="1"/>
      <c r="R6" s="1"/>
      <c r="S6" s="1"/>
    </row>
    <row r="7" spans="1:19">
      <c r="B7" s="1"/>
      <c r="C7" s="1"/>
      <c r="D7" s="1">
        <v>0.622</v>
      </c>
      <c r="E7" s="1">
        <v>400</v>
      </c>
      <c r="F7" s="1">
        <v>294.31</v>
      </c>
      <c r="G7" s="1">
        <v>310.58999999999997</v>
      </c>
      <c r="H7" s="1">
        <v>4683.5</v>
      </c>
      <c r="I7" s="1">
        <v>138.06</v>
      </c>
      <c r="J7" s="1">
        <f t="shared" si="0"/>
        <v>4545.4399999999996</v>
      </c>
      <c r="K7" s="1">
        <v>326.61</v>
      </c>
      <c r="L7" s="1">
        <f t="shared" si="1"/>
        <v>17.848600000000001</v>
      </c>
      <c r="M7" s="1">
        <v>8.9243000000000006</v>
      </c>
      <c r="N7" s="1">
        <v>326.97000000000003</v>
      </c>
      <c r="O7" s="1">
        <v>334.05</v>
      </c>
      <c r="P7" s="1">
        <v>326.61</v>
      </c>
      <c r="Q7" s="1"/>
      <c r="R7" s="1"/>
      <c r="S7" s="1"/>
    </row>
    <row r="8" spans="1:19">
      <c r="B8" s="1"/>
      <c r="C8" s="1"/>
      <c r="D8" s="1">
        <v>0.69979999999999998</v>
      </c>
      <c r="E8" s="1">
        <v>450</v>
      </c>
      <c r="F8" s="1">
        <v>294.12</v>
      </c>
      <c r="G8" s="1">
        <v>308.89</v>
      </c>
      <c r="H8" s="1">
        <v>5437.5</v>
      </c>
      <c r="I8" s="1">
        <v>122.69</v>
      </c>
      <c r="J8" s="1">
        <f t="shared" si="0"/>
        <v>5314.81</v>
      </c>
      <c r="K8" s="1">
        <v>323.39</v>
      </c>
      <c r="L8" s="1">
        <f t="shared" si="1"/>
        <v>17.967600000000001</v>
      </c>
      <c r="M8" s="1">
        <v>8.9838000000000005</v>
      </c>
      <c r="N8" s="1">
        <v>323.75</v>
      </c>
      <c r="O8" s="1">
        <v>330</v>
      </c>
      <c r="P8" s="1">
        <v>323.39</v>
      </c>
      <c r="Q8" s="1"/>
      <c r="R8" s="1"/>
      <c r="S8" s="1"/>
    </row>
    <row r="9" spans="1:19">
      <c r="B9" s="1"/>
      <c r="C9" s="1"/>
      <c r="D9" s="1">
        <v>0.77749999999999997</v>
      </c>
      <c r="E9" s="1">
        <v>500</v>
      </c>
      <c r="F9" s="1">
        <v>293.98</v>
      </c>
      <c r="G9" s="1">
        <v>307.33</v>
      </c>
      <c r="H9" s="1">
        <v>6238.5</v>
      </c>
      <c r="I9" s="1">
        <v>103.49</v>
      </c>
      <c r="J9" s="1">
        <f t="shared" si="0"/>
        <v>6135.01</v>
      </c>
      <c r="K9" s="1">
        <v>320.75</v>
      </c>
      <c r="L9" s="1">
        <f t="shared" si="1"/>
        <v>18.086600000000001</v>
      </c>
      <c r="M9" s="1">
        <v>9.0433000000000003</v>
      </c>
      <c r="N9" s="1">
        <v>321.10000000000002</v>
      </c>
      <c r="O9" s="1">
        <v>326.68</v>
      </c>
      <c r="P9" s="1">
        <v>320.75</v>
      </c>
      <c r="Q9" s="1"/>
      <c r="R9" s="1"/>
      <c r="S9" s="1"/>
    </row>
    <row r="10" spans="1:19">
      <c r="B10" s="1"/>
      <c r="C10" s="1"/>
      <c r="D10" s="1">
        <v>0.85529999999999995</v>
      </c>
      <c r="E10" s="1">
        <v>550</v>
      </c>
      <c r="F10" s="1">
        <v>293.87</v>
      </c>
      <c r="G10" s="1">
        <v>306.06</v>
      </c>
      <c r="H10" s="1">
        <v>7092</v>
      </c>
      <c r="I10" s="1">
        <v>81.063999999999993</v>
      </c>
      <c r="J10" s="1">
        <f t="shared" si="0"/>
        <v>7010.9359999999997</v>
      </c>
      <c r="K10" s="1">
        <v>318.42</v>
      </c>
      <c r="L10" s="1">
        <f t="shared" si="1"/>
        <v>18.174600000000002</v>
      </c>
      <c r="M10" s="1">
        <v>9.0873000000000008</v>
      </c>
      <c r="N10" s="1">
        <v>318.77</v>
      </c>
      <c r="O10" s="1">
        <v>323.72000000000003</v>
      </c>
      <c r="P10" s="1">
        <v>318.42</v>
      </c>
      <c r="Q10" s="1"/>
      <c r="R10" s="1"/>
      <c r="S10" s="1"/>
    </row>
    <row r="11" spans="1:19">
      <c r="B11" s="1"/>
      <c r="C11" s="1"/>
      <c r="D11" s="1">
        <v>0.93300000000000005</v>
      </c>
      <c r="E11" s="1">
        <v>600</v>
      </c>
      <c r="F11" s="1">
        <v>293.77999999999997</v>
      </c>
      <c r="G11" s="1">
        <v>304.97000000000003</v>
      </c>
      <c r="H11" s="1">
        <v>8000.7</v>
      </c>
      <c r="I11" s="1">
        <v>56.860999999999997</v>
      </c>
      <c r="J11" s="1">
        <f t="shared" si="0"/>
        <v>7943.8389999999999</v>
      </c>
      <c r="K11" s="1">
        <v>316.5</v>
      </c>
      <c r="L11" s="1">
        <f t="shared" si="1"/>
        <v>18.263999999999999</v>
      </c>
      <c r="M11" s="1">
        <v>9.1319999999999997</v>
      </c>
      <c r="N11" s="1">
        <v>316.85000000000002</v>
      </c>
      <c r="O11" s="1">
        <v>321.33</v>
      </c>
      <c r="P11" s="1">
        <v>316.5</v>
      </c>
      <c r="Q11" s="1"/>
      <c r="R11" s="1"/>
      <c r="S11" s="1"/>
    </row>
    <row r="12" spans="1:19">
      <c r="B12" s="1"/>
      <c r="C12" s="1"/>
      <c r="D12" s="1">
        <v>1.0107999999999999</v>
      </c>
      <c r="E12" s="1">
        <v>650</v>
      </c>
      <c r="F12" s="1">
        <v>293.70999999999998</v>
      </c>
      <c r="G12" s="1">
        <v>304.08999999999997</v>
      </c>
      <c r="H12" s="1">
        <v>8974.5</v>
      </c>
      <c r="I12" s="1">
        <v>31.748999999999999</v>
      </c>
      <c r="J12" s="1">
        <f t="shared" si="0"/>
        <v>8942.7510000000002</v>
      </c>
      <c r="K12" s="1">
        <v>314.79000000000002</v>
      </c>
      <c r="L12" s="1">
        <f t="shared" si="1"/>
        <v>18.3432</v>
      </c>
      <c r="M12" s="1">
        <v>9.1715999999999998</v>
      </c>
      <c r="N12" s="1">
        <v>315.14</v>
      </c>
      <c r="O12" s="1">
        <v>319.14</v>
      </c>
      <c r="P12" s="1">
        <v>314.79000000000002</v>
      </c>
      <c r="Q12" s="1"/>
      <c r="R12" s="1"/>
      <c r="S12" s="1"/>
    </row>
    <row r="13" spans="1:19">
      <c r="B13" s="1"/>
      <c r="C13" s="1"/>
      <c r="D13" s="1">
        <v>1.0885</v>
      </c>
      <c r="E13" s="1">
        <v>700</v>
      </c>
      <c r="F13" s="1">
        <v>293.64999999999998</v>
      </c>
      <c r="G13" s="1">
        <v>303.29000000000002</v>
      </c>
      <c r="H13" s="1">
        <v>10075</v>
      </c>
      <c r="I13" s="1">
        <v>14.03</v>
      </c>
      <c r="J13" s="1">
        <f t="shared" si="0"/>
        <v>10060.969999999999</v>
      </c>
      <c r="K13" s="1">
        <v>313.16000000000003</v>
      </c>
      <c r="L13" s="1">
        <f t="shared" si="1"/>
        <v>18.4282</v>
      </c>
      <c r="M13" s="1">
        <v>9.2141000000000002</v>
      </c>
      <c r="N13" s="1">
        <v>313.5</v>
      </c>
      <c r="O13" s="1">
        <v>317.02</v>
      </c>
      <c r="P13" s="1">
        <v>313.16000000000003</v>
      </c>
      <c r="Q13" s="1"/>
      <c r="R13" s="1"/>
      <c r="S13" s="1"/>
    </row>
    <row r="14" spans="1:19">
      <c r="B14" s="1"/>
      <c r="C14" s="1"/>
      <c r="D14" s="1">
        <v>1.1662999999999999</v>
      </c>
      <c r="E14" s="1">
        <v>750</v>
      </c>
      <c r="F14" s="1">
        <v>293.60000000000002</v>
      </c>
      <c r="G14" s="1">
        <v>302.70999999999998</v>
      </c>
      <c r="H14" s="1">
        <v>11286</v>
      </c>
      <c r="I14" s="1">
        <v>-5.5545999999999998</v>
      </c>
      <c r="J14" s="1">
        <f t="shared" si="0"/>
        <v>11291.554599999999</v>
      </c>
      <c r="K14" s="1">
        <v>311.70999999999998</v>
      </c>
      <c r="L14" s="1">
        <f t="shared" si="1"/>
        <v>18.505400000000002</v>
      </c>
      <c r="M14" s="1">
        <v>9.2527000000000008</v>
      </c>
      <c r="N14" s="1">
        <v>312.05</v>
      </c>
      <c r="O14" s="1">
        <v>315.25</v>
      </c>
      <c r="P14" s="1">
        <v>311.70999999999998</v>
      </c>
      <c r="Q14" s="1"/>
      <c r="R14" s="1"/>
      <c r="S14" s="1"/>
    </row>
    <row r="15" spans="1:19">
      <c r="B15" s="1"/>
      <c r="C15" s="1"/>
      <c r="D15" s="1">
        <v>1.244</v>
      </c>
      <c r="E15" s="1">
        <v>800</v>
      </c>
      <c r="F15" s="1">
        <v>293.56</v>
      </c>
      <c r="G15" s="1">
        <v>302.05</v>
      </c>
      <c r="H15" s="1">
        <v>12573</v>
      </c>
      <c r="I15" s="1">
        <v>-29.8</v>
      </c>
      <c r="J15" s="1">
        <f t="shared" si="0"/>
        <v>12602.8</v>
      </c>
      <c r="K15" s="1">
        <v>310.45999999999998</v>
      </c>
      <c r="L15" s="1">
        <f t="shared" si="1"/>
        <v>18.570399999999999</v>
      </c>
      <c r="M15" s="1">
        <v>9.2851999999999997</v>
      </c>
      <c r="N15" s="1">
        <v>310.79000000000002</v>
      </c>
      <c r="O15" s="1">
        <v>313.75</v>
      </c>
      <c r="P15" s="1">
        <v>310.45999999999998</v>
      </c>
      <c r="Q15" s="1"/>
      <c r="R15" s="1"/>
      <c r="S15" s="1"/>
    </row>
    <row r="16" spans="1:19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>
      <c r="A17" t="s">
        <v>19</v>
      </c>
      <c r="B17" t="s">
        <v>20</v>
      </c>
      <c r="C17" t="s">
        <v>21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>
      <c r="A18" s="1">
        <v>5</v>
      </c>
      <c r="B18" s="1">
        <v>0.15</v>
      </c>
      <c r="C18" s="1">
        <v>0.15</v>
      </c>
      <c r="D18" s="1" t="s">
        <v>0</v>
      </c>
      <c r="E18" s="1" t="s">
        <v>1</v>
      </c>
      <c r="F18" s="1" t="s">
        <v>2</v>
      </c>
      <c r="G18" s="1" t="s">
        <v>3</v>
      </c>
      <c r="H18" s="1" t="s">
        <v>4</v>
      </c>
      <c r="I18" s="1" t="s">
        <v>5</v>
      </c>
      <c r="J18" s="1" t="s">
        <v>6</v>
      </c>
      <c r="K18" s="1" t="s">
        <v>7</v>
      </c>
      <c r="L18" s="1" t="s">
        <v>8</v>
      </c>
      <c r="M18" s="1"/>
      <c r="N18" s="1" t="s">
        <v>9</v>
      </c>
      <c r="O18" s="1" t="s">
        <v>10</v>
      </c>
      <c r="P18" s="1" t="s">
        <v>11</v>
      </c>
      <c r="Q18" s="1" t="s">
        <v>12</v>
      </c>
      <c r="R18" s="1" t="s">
        <v>13</v>
      </c>
      <c r="S18" s="1" t="s">
        <v>14</v>
      </c>
    </row>
    <row r="19" spans="1:19">
      <c r="B19" s="1"/>
      <c r="C19" s="1"/>
      <c r="D19" s="1">
        <v>0.38879999999999998</v>
      </c>
      <c r="E19" s="1">
        <v>250</v>
      </c>
      <c r="F19" s="1">
        <v>295.10000000000002</v>
      </c>
      <c r="G19" s="1">
        <v>321.2</v>
      </c>
      <c r="H19" s="1">
        <v>2975.4</v>
      </c>
      <c r="I19" s="1">
        <v>151.36000000000001</v>
      </c>
      <c r="J19" s="1">
        <f t="shared" si="0"/>
        <v>2824.04</v>
      </c>
      <c r="K19" s="1">
        <v>334.64</v>
      </c>
      <c r="L19" s="1">
        <f t="shared" si="1"/>
        <v>17.799399999999999</v>
      </c>
      <c r="M19" s="1">
        <v>8.8996999999999993</v>
      </c>
      <c r="N19" s="1">
        <v>335.1</v>
      </c>
      <c r="O19" s="1">
        <v>344.82</v>
      </c>
      <c r="P19" s="1">
        <v>334.64</v>
      </c>
      <c r="Q19" s="1"/>
      <c r="R19" s="1"/>
      <c r="S19" s="1"/>
    </row>
    <row r="20" spans="1:19">
      <c r="B20" s="1"/>
      <c r="C20" s="1"/>
      <c r="D20" s="1">
        <v>0.46650000000000003</v>
      </c>
      <c r="E20" s="1">
        <v>300</v>
      </c>
      <c r="F20" s="1">
        <v>294.64999999999998</v>
      </c>
      <c r="G20" s="1">
        <v>316.41000000000003</v>
      </c>
      <c r="H20" s="1">
        <v>3714.8</v>
      </c>
      <c r="I20" s="1">
        <v>156.38999999999999</v>
      </c>
      <c r="J20" s="1">
        <f t="shared" si="0"/>
        <v>3558.4100000000003</v>
      </c>
      <c r="K20" s="1">
        <v>328.44</v>
      </c>
      <c r="L20" s="1">
        <f t="shared" si="1"/>
        <v>17.950600000000001</v>
      </c>
      <c r="M20" s="1">
        <v>8.9753000000000007</v>
      </c>
      <c r="N20" s="1">
        <v>328.88</v>
      </c>
      <c r="O20" s="1">
        <v>336.67</v>
      </c>
      <c r="P20" s="1">
        <v>328.44</v>
      </c>
      <c r="Q20" s="1"/>
      <c r="R20" s="1"/>
      <c r="S20" s="1"/>
    </row>
    <row r="21" spans="1:19">
      <c r="B21" s="1"/>
      <c r="C21" s="1"/>
      <c r="D21" s="1">
        <v>0.54430000000000001</v>
      </c>
      <c r="E21" s="1">
        <v>350</v>
      </c>
      <c r="F21" s="1">
        <v>294.35000000000002</v>
      </c>
      <c r="G21" s="1">
        <v>312.89999999999998</v>
      </c>
      <c r="H21" s="1">
        <v>4511.2</v>
      </c>
      <c r="I21" s="1">
        <v>155.55000000000001</v>
      </c>
      <c r="J21" s="1">
        <f t="shared" si="0"/>
        <v>4355.6499999999996</v>
      </c>
      <c r="K21" s="1">
        <v>323.7</v>
      </c>
      <c r="L21" s="1">
        <f t="shared" si="1"/>
        <v>18.0838</v>
      </c>
      <c r="M21" s="1">
        <v>9.0419</v>
      </c>
      <c r="N21" s="1">
        <v>324.12</v>
      </c>
      <c r="O21" s="1">
        <v>330.52</v>
      </c>
      <c r="P21" s="1">
        <v>323.7</v>
      </c>
      <c r="Q21" s="1"/>
      <c r="R21" s="1"/>
      <c r="S21" s="1"/>
    </row>
    <row r="22" spans="1:19">
      <c r="B22" s="1"/>
      <c r="C22" s="1"/>
      <c r="D22" s="1">
        <v>0.622</v>
      </c>
      <c r="E22" s="1">
        <v>400</v>
      </c>
      <c r="F22" s="1">
        <v>294.14</v>
      </c>
      <c r="G22" s="1">
        <v>310.58999999999997</v>
      </c>
      <c r="H22" s="1">
        <v>5367</v>
      </c>
      <c r="I22" s="1">
        <v>150.44</v>
      </c>
      <c r="J22" s="1">
        <f t="shared" si="0"/>
        <v>5216.5600000000004</v>
      </c>
      <c r="K22" s="1">
        <v>320.16000000000003</v>
      </c>
      <c r="L22" s="1">
        <f t="shared" si="1"/>
        <v>18.202400000000001</v>
      </c>
      <c r="M22" s="1">
        <v>9.1012000000000004</v>
      </c>
      <c r="N22" s="1">
        <v>320.57</v>
      </c>
      <c r="O22" s="1">
        <v>326.08999999999997</v>
      </c>
      <c r="P22" s="1">
        <v>320.16000000000003</v>
      </c>
      <c r="Q22" s="1"/>
      <c r="R22" s="1"/>
      <c r="S22" s="1"/>
    </row>
    <row r="23" spans="1:19">
      <c r="B23" s="1"/>
      <c r="C23" s="1"/>
      <c r="D23" s="1">
        <v>0.69979999999999998</v>
      </c>
      <c r="E23" s="1">
        <v>450</v>
      </c>
      <c r="F23" s="1">
        <v>293.98</v>
      </c>
      <c r="G23" s="1">
        <v>308.89</v>
      </c>
      <c r="H23" s="1">
        <v>6288.3</v>
      </c>
      <c r="I23" s="1">
        <v>143.11000000000001</v>
      </c>
      <c r="J23" s="1">
        <f t="shared" si="0"/>
        <v>6145.1900000000005</v>
      </c>
      <c r="K23" s="1">
        <v>317.44</v>
      </c>
      <c r="L23" s="1">
        <f t="shared" si="1"/>
        <v>18.298999999999999</v>
      </c>
      <c r="M23" s="1">
        <v>9.1494999999999997</v>
      </c>
      <c r="N23" s="1">
        <v>317.85000000000002</v>
      </c>
      <c r="O23" s="1">
        <v>322.79000000000002</v>
      </c>
      <c r="P23" s="1">
        <v>317.44</v>
      </c>
      <c r="Q23" s="1"/>
      <c r="R23" s="1"/>
      <c r="S23" s="1"/>
    </row>
    <row r="24" spans="1:19">
      <c r="B24" s="1"/>
      <c r="C24" s="1"/>
      <c r="D24" s="1">
        <v>0.77749999999999997</v>
      </c>
      <c r="E24" s="1">
        <v>500</v>
      </c>
      <c r="F24" s="1">
        <v>293.86</v>
      </c>
      <c r="G24" s="1">
        <v>307.33</v>
      </c>
      <c r="H24" s="1">
        <v>7272.7</v>
      </c>
      <c r="I24" s="1">
        <v>134.47999999999999</v>
      </c>
      <c r="J24" s="1">
        <f t="shared" si="0"/>
        <v>7138.22</v>
      </c>
      <c r="K24" s="1">
        <v>315.26</v>
      </c>
      <c r="L24" s="1">
        <f t="shared" si="1"/>
        <v>18.367000000000001</v>
      </c>
      <c r="M24" s="1">
        <v>9.1835000000000004</v>
      </c>
      <c r="N24" s="1">
        <v>315.66000000000003</v>
      </c>
      <c r="O24" s="1">
        <v>320.12</v>
      </c>
      <c r="P24" s="1">
        <v>315.26</v>
      </c>
      <c r="Q24" s="1"/>
      <c r="R24" s="1"/>
      <c r="S24" s="1"/>
    </row>
    <row r="25" spans="1:19">
      <c r="B25" s="1"/>
      <c r="C25" s="1"/>
      <c r="D25" s="1">
        <v>0.85529999999999995</v>
      </c>
      <c r="E25" s="1">
        <v>550</v>
      </c>
      <c r="F25" s="1">
        <v>293.77</v>
      </c>
      <c r="G25" s="1">
        <v>306.06</v>
      </c>
      <c r="H25" s="1">
        <v>8317.9</v>
      </c>
      <c r="I25" s="1">
        <v>124.36</v>
      </c>
      <c r="J25" s="1">
        <f t="shared" si="0"/>
        <v>8193.5399999999991</v>
      </c>
      <c r="K25" s="1">
        <v>313.52</v>
      </c>
      <c r="L25" s="1">
        <f t="shared" si="1"/>
        <v>18.418600000000001</v>
      </c>
      <c r="M25" s="1">
        <v>9.2093000000000007</v>
      </c>
      <c r="N25" s="1">
        <v>313.92</v>
      </c>
      <c r="O25" s="1">
        <v>318.05</v>
      </c>
      <c r="P25" s="1">
        <v>313.52</v>
      </c>
      <c r="Q25" s="1"/>
      <c r="R25" s="1"/>
      <c r="S25" s="1"/>
    </row>
    <row r="26" spans="1:19">
      <c r="B26" s="1"/>
      <c r="C26" s="1"/>
      <c r="D26" s="1">
        <v>0.93300000000000005</v>
      </c>
      <c r="E26" s="1">
        <v>600</v>
      </c>
      <c r="F26" s="1">
        <v>293.7</v>
      </c>
      <c r="G26" s="1">
        <v>304.97000000000003</v>
      </c>
      <c r="H26" s="1">
        <v>9413.9</v>
      </c>
      <c r="I26" s="1">
        <v>110.08</v>
      </c>
      <c r="J26" s="1">
        <f t="shared" si="0"/>
        <v>9303.82</v>
      </c>
      <c r="K26" s="1">
        <v>312.13</v>
      </c>
      <c r="L26" s="1">
        <f t="shared" si="1"/>
        <v>18.458200000000001</v>
      </c>
      <c r="M26" s="1">
        <v>9.2291000000000007</v>
      </c>
      <c r="N26" s="1">
        <v>312.52999999999997</v>
      </c>
      <c r="O26" s="1">
        <v>316.39</v>
      </c>
      <c r="P26" s="1">
        <v>312.13</v>
      </c>
      <c r="Q26" s="1"/>
      <c r="R26" s="1"/>
      <c r="S26" s="1"/>
    </row>
    <row r="27" spans="1:19">
      <c r="B27" s="1"/>
      <c r="C27" s="1"/>
      <c r="D27" s="1">
        <v>1.0107999999999999</v>
      </c>
      <c r="E27" s="1">
        <v>650</v>
      </c>
      <c r="F27" s="1">
        <v>293.64</v>
      </c>
      <c r="G27" s="1">
        <v>304.08999999999997</v>
      </c>
      <c r="H27" s="1">
        <v>10556</v>
      </c>
      <c r="I27" s="1">
        <v>89.302999999999997</v>
      </c>
      <c r="J27" s="1">
        <f t="shared" si="0"/>
        <v>10466.697</v>
      </c>
      <c r="K27" s="1">
        <v>311</v>
      </c>
      <c r="L27" s="1">
        <f t="shared" si="1"/>
        <v>18.491</v>
      </c>
      <c r="M27" s="1">
        <v>9.2454999999999998</v>
      </c>
      <c r="N27" s="1">
        <v>311.39999999999998</v>
      </c>
      <c r="O27" s="1">
        <v>315.07</v>
      </c>
      <c r="P27" s="1">
        <v>311</v>
      </c>
      <c r="Q27" s="1"/>
      <c r="R27" s="1"/>
      <c r="S27" s="1"/>
    </row>
    <row r="28" spans="1:19">
      <c r="B28" s="1"/>
      <c r="C28" s="1"/>
      <c r="D28" s="1">
        <v>1.0885</v>
      </c>
      <c r="E28" s="1">
        <v>700</v>
      </c>
      <c r="F28" s="1">
        <v>293.58999999999997</v>
      </c>
      <c r="G28" s="1">
        <v>303.29000000000002</v>
      </c>
      <c r="H28" s="1">
        <v>11735</v>
      </c>
      <c r="I28" s="1">
        <v>61.018999999999998</v>
      </c>
      <c r="J28" s="1">
        <f t="shared" si="0"/>
        <v>11673.981</v>
      </c>
      <c r="K28" s="1">
        <v>310.05</v>
      </c>
      <c r="L28" s="1">
        <f t="shared" si="1"/>
        <v>18.518799999999999</v>
      </c>
      <c r="M28" s="1">
        <v>9.2593999999999994</v>
      </c>
      <c r="N28" s="1">
        <v>310.45</v>
      </c>
      <c r="O28" s="1">
        <v>313.93</v>
      </c>
      <c r="P28" s="1">
        <v>310.05</v>
      </c>
      <c r="Q28" s="1"/>
      <c r="R28" s="1"/>
      <c r="S28" s="1"/>
    </row>
    <row r="29" spans="1:19">
      <c r="B29" s="1"/>
      <c r="C29" s="1"/>
      <c r="D29" s="1">
        <v>1.1662999999999999</v>
      </c>
      <c r="E29" s="1">
        <v>750</v>
      </c>
      <c r="F29" s="1">
        <v>293.55</v>
      </c>
      <c r="G29" s="1">
        <v>302.70999999999998</v>
      </c>
      <c r="H29" s="1">
        <v>12958</v>
      </c>
      <c r="I29" s="1">
        <v>27.131</v>
      </c>
      <c r="J29" s="1">
        <f t="shared" si="0"/>
        <v>12930.869000000001</v>
      </c>
      <c r="K29" s="1">
        <v>309.27999999999997</v>
      </c>
      <c r="L29" s="1">
        <f t="shared" si="1"/>
        <v>18.548999999999999</v>
      </c>
      <c r="M29" s="1">
        <v>9.2744999999999997</v>
      </c>
      <c r="N29" s="1">
        <v>309.67</v>
      </c>
      <c r="O29" s="1">
        <v>313.05</v>
      </c>
      <c r="P29" s="1">
        <v>309.27999999999997</v>
      </c>
      <c r="Q29" s="1"/>
      <c r="R29" s="1"/>
      <c r="S29" s="1"/>
    </row>
    <row r="30" spans="1:19">
      <c r="B30" s="1"/>
      <c r="C30" s="1"/>
      <c r="D30" s="1">
        <v>1.244</v>
      </c>
      <c r="E30" s="1">
        <v>800</v>
      </c>
      <c r="F30" s="1">
        <v>293.51</v>
      </c>
      <c r="G30" s="1">
        <v>302.05</v>
      </c>
      <c r="H30" s="1">
        <v>14227</v>
      </c>
      <c r="I30" s="1">
        <v>-12.509</v>
      </c>
      <c r="J30" s="1">
        <f t="shared" si="0"/>
        <v>14239.509</v>
      </c>
      <c r="K30" s="1">
        <v>308.55</v>
      </c>
      <c r="L30" s="1">
        <f t="shared" si="1"/>
        <v>18.5748</v>
      </c>
      <c r="M30" s="1">
        <v>9.2873999999999999</v>
      </c>
      <c r="N30" s="1">
        <v>308.94</v>
      </c>
      <c r="O30" s="1">
        <v>312.12</v>
      </c>
      <c r="P30" s="1">
        <v>308.55</v>
      </c>
      <c r="Q30" s="1"/>
      <c r="R30" s="1"/>
      <c r="S30" s="1"/>
    </row>
    <row r="31" spans="1:19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>
      <c r="A32" t="s">
        <v>19</v>
      </c>
      <c r="B32" t="s">
        <v>20</v>
      </c>
      <c r="C32" t="s">
        <v>21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>
      <c r="A33" s="1">
        <v>5</v>
      </c>
      <c r="B33" s="1">
        <v>0.15</v>
      </c>
      <c r="C33" s="1">
        <v>0.3</v>
      </c>
      <c r="D33" s="1" t="s">
        <v>0</v>
      </c>
      <c r="E33" s="1" t="s">
        <v>1</v>
      </c>
      <c r="F33" s="1" t="s">
        <v>2</v>
      </c>
      <c r="G33" s="1" t="s">
        <v>3</v>
      </c>
      <c r="H33" s="1" t="s">
        <v>4</v>
      </c>
      <c r="I33" s="1" t="s">
        <v>5</v>
      </c>
      <c r="J33" s="1" t="s">
        <v>6</v>
      </c>
      <c r="K33" s="1" t="s">
        <v>7</v>
      </c>
      <c r="L33" s="1" t="s">
        <v>8</v>
      </c>
      <c r="M33" s="1"/>
      <c r="N33" s="1" t="s">
        <v>9</v>
      </c>
      <c r="O33" s="1" t="s">
        <v>10</v>
      </c>
      <c r="P33" s="1" t="s">
        <v>11</v>
      </c>
      <c r="Q33" s="1" t="s">
        <v>12</v>
      </c>
      <c r="R33" s="1" t="s">
        <v>13</v>
      </c>
      <c r="S33" s="1" t="s">
        <v>14</v>
      </c>
    </row>
    <row r="34" spans="1:19">
      <c r="B34" s="1"/>
      <c r="C34" s="1"/>
      <c r="D34" s="1">
        <v>0.38879999999999998</v>
      </c>
      <c r="E34" s="1">
        <v>250</v>
      </c>
      <c r="F34" s="1">
        <v>294.62</v>
      </c>
      <c r="G34" s="1">
        <v>321.3</v>
      </c>
      <c r="H34" s="1">
        <v>3709.1</v>
      </c>
      <c r="I34" s="1">
        <v>169.35</v>
      </c>
      <c r="J34" s="1">
        <f t="shared" si="0"/>
        <v>3539.75</v>
      </c>
      <c r="K34" s="1">
        <v>325.23</v>
      </c>
      <c r="L34" s="1">
        <f t="shared" si="1"/>
        <v>18.440799999999999</v>
      </c>
      <c r="M34" s="1">
        <v>9.2203999999999997</v>
      </c>
      <c r="N34" s="1">
        <v>325.82</v>
      </c>
      <c r="O34" s="1">
        <v>335.74</v>
      </c>
      <c r="P34" s="1">
        <v>325.23</v>
      </c>
      <c r="Q34" s="1"/>
      <c r="R34" s="1"/>
      <c r="S34" s="1"/>
    </row>
    <row r="35" spans="1:19">
      <c r="B35" s="1"/>
      <c r="C35" s="1"/>
      <c r="D35" s="1">
        <v>0.46650000000000003</v>
      </c>
      <c r="E35" s="1">
        <v>300</v>
      </c>
      <c r="F35" s="1">
        <v>294.29000000000002</v>
      </c>
      <c r="G35" s="1">
        <v>316.45</v>
      </c>
      <c r="H35" s="1">
        <v>4668.5</v>
      </c>
      <c r="I35" s="1">
        <v>184.83</v>
      </c>
      <c r="J35" s="1">
        <f t="shared" si="0"/>
        <v>4483.67</v>
      </c>
      <c r="K35" s="1">
        <v>320.58999999999997</v>
      </c>
      <c r="L35" s="1">
        <f t="shared" si="1"/>
        <v>18.536999999999999</v>
      </c>
      <c r="M35" s="1">
        <v>9.2684999999999995</v>
      </c>
      <c r="N35" s="1">
        <v>321.16000000000003</v>
      </c>
      <c r="O35" s="1">
        <v>329.36</v>
      </c>
      <c r="P35" s="1">
        <v>320.58999999999997</v>
      </c>
      <c r="Q35" s="1"/>
      <c r="R35" s="1"/>
      <c r="S35" s="1"/>
    </row>
    <row r="36" spans="1:19">
      <c r="B36" s="1"/>
      <c r="C36" s="1"/>
      <c r="D36" s="1">
        <v>0.54430000000000001</v>
      </c>
      <c r="E36" s="1">
        <v>350</v>
      </c>
      <c r="F36" s="1">
        <v>294.07</v>
      </c>
      <c r="G36" s="1">
        <v>313.31</v>
      </c>
      <c r="H36" s="1">
        <v>5697.7</v>
      </c>
      <c r="I36" s="1">
        <v>195.05</v>
      </c>
      <c r="J36" s="1">
        <f t="shared" si="0"/>
        <v>5502.65</v>
      </c>
      <c r="K36" s="1">
        <v>317.27</v>
      </c>
      <c r="L36" s="1">
        <f t="shared" si="1"/>
        <v>18.6266</v>
      </c>
      <c r="M36" s="1">
        <v>9.3132999999999999</v>
      </c>
      <c r="N36" s="1">
        <v>317.82</v>
      </c>
      <c r="O36" s="1">
        <v>324.95999999999998</v>
      </c>
      <c r="P36" s="1">
        <v>317.27</v>
      </c>
      <c r="Q36" s="1"/>
      <c r="R36" s="1"/>
      <c r="S36" s="1"/>
    </row>
    <row r="37" spans="1:19">
      <c r="B37" s="1"/>
      <c r="C37" s="1"/>
      <c r="D37" s="1">
        <v>0.622</v>
      </c>
      <c r="E37" s="1">
        <v>400</v>
      </c>
      <c r="F37" s="1">
        <v>293.91000000000003</v>
      </c>
      <c r="G37" s="1">
        <v>310.69</v>
      </c>
      <c r="H37" s="1">
        <v>6795.9</v>
      </c>
      <c r="I37" s="1">
        <v>200.29</v>
      </c>
      <c r="J37" s="1">
        <f t="shared" si="0"/>
        <v>6595.61</v>
      </c>
      <c r="K37" s="1">
        <v>314.64999999999998</v>
      </c>
      <c r="L37" s="1">
        <f t="shared" si="1"/>
        <v>18.688400000000001</v>
      </c>
      <c r="M37" s="1">
        <v>9.3442000000000007</v>
      </c>
      <c r="N37" s="1">
        <v>315.18</v>
      </c>
      <c r="O37" s="1">
        <v>321.41000000000003</v>
      </c>
      <c r="P37" s="1">
        <v>314.64999999999998</v>
      </c>
      <c r="Q37" s="1"/>
      <c r="R37" s="1"/>
      <c r="S37" s="1"/>
    </row>
    <row r="38" spans="1:19">
      <c r="B38" s="1"/>
      <c r="C38" s="1"/>
      <c r="D38" s="1">
        <v>0.69979999999999998</v>
      </c>
      <c r="E38" s="1">
        <v>450</v>
      </c>
      <c r="F38" s="1">
        <v>293.79000000000002</v>
      </c>
      <c r="G38" s="1">
        <v>308.60000000000002</v>
      </c>
      <c r="H38" s="1">
        <v>7965.8</v>
      </c>
      <c r="I38" s="1">
        <v>200.4</v>
      </c>
      <c r="J38" s="1">
        <f t="shared" si="0"/>
        <v>7765.4000000000005</v>
      </c>
      <c r="K38" s="1">
        <v>312.58999999999997</v>
      </c>
      <c r="L38" s="1">
        <f t="shared" si="1"/>
        <v>18.747199999999999</v>
      </c>
      <c r="M38" s="1">
        <v>9.3735999999999997</v>
      </c>
      <c r="N38" s="1">
        <v>313.11</v>
      </c>
      <c r="O38" s="1">
        <v>318.64</v>
      </c>
      <c r="P38" s="1">
        <v>312.58999999999997</v>
      </c>
      <c r="Q38" s="1"/>
      <c r="R38" s="1"/>
      <c r="S38" s="1"/>
    </row>
    <row r="39" spans="1:19">
      <c r="B39" s="1"/>
      <c r="C39" s="1"/>
      <c r="D39" s="1">
        <v>0.77749999999999997</v>
      </c>
      <c r="E39" s="1">
        <v>500</v>
      </c>
      <c r="F39" s="1">
        <v>293.70999999999998</v>
      </c>
      <c r="G39" s="1">
        <v>307.22000000000003</v>
      </c>
      <c r="H39" s="1">
        <v>9201.4</v>
      </c>
      <c r="I39" s="1">
        <v>195</v>
      </c>
      <c r="J39" s="1">
        <f t="shared" si="0"/>
        <v>9006.4</v>
      </c>
      <c r="K39" s="1">
        <v>311.02</v>
      </c>
      <c r="L39" s="1">
        <f t="shared" si="1"/>
        <v>18.801200000000001</v>
      </c>
      <c r="M39" s="1">
        <v>9.4006000000000007</v>
      </c>
      <c r="N39" s="1">
        <v>311.54000000000002</v>
      </c>
      <c r="O39" s="1">
        <v>316.64</v>
      </c>
      <c r="P39" s="1">
        <v>311.02</v>
      </c>
      <c r="Q39" s="1"/>
      <c r="R39" s="1"/>
      <c r="S39" s="1"/>
    </row>
    <row r="40" spans="1:19">
      <c r="B40" s="1"/>
      <c r="C40" s="1"/>
      <c r="D40" s="1">
        <v>0.85529999999999995</v>
      </c>
      <c r="E40" s="1">
        <v>550</v>
      </c>
      <c r="F40" s="1">
        <v>293.64</v>
      </c>
      <c r="G40" s="1">
        <v>305.92</v>
      </c>
      <c r="H40" s="1">
        <v>10506</v>
      </c>
      <c r="I40" s="1">
        <v>184.02</v>
      </c>
      <c r="J40" s="1">
        <f t="shared" si="0"/>
        <v>10321.98</v>
      </c>
      <c r="K40" s="1">
        <v>309.7</v>
      </c>
      <c r="L40" s="1">
        <f t="shared" si="1"/>
        <v>18.8462</v>
      </c>
      <c r="M40" s="1">
        <v>9.4230999999999998</v>
      </c>
      <c r="N40" s="1">
        <v>310.20999999999998</v>
      </c>
      <c r="O40" s="1">
        <v>314.89</v>
      </c>
      <c r="P40" s="1">
        <v>309.7</v>
      </c>
      <c r="Q40" s="1"/>
      <c r="R40" s="1"/>
      <c r="S40" s="1"/>
    </row>
    <row r="41" spans="1:19">
      <c r="B41" s="1"/>
      <c r="C41" s="1"/>
      <c r="D41" s="1">
        <v>0.93300000000000005</v>
      </c>
      <c r="E41" s="1">
        <v>600</v>
      </c>
      <c r="F41" s="1">
        <v>293.58</v>
      </c>
      <c r="G41" s="1">
        <v>304.95999999999998</v>
      </c>
      <c r="H41" s="1">
        <v>11873</v>
      </c>
      <c r="I41" s="1">
        <v>166.86</v>
      </c>
      <c r="J41" s="1">
        <f t="shared" si="0"/>
        <v>11706.14</v>
      </c>
      <c r="K41" s="1">
        <v>308.62</v>
      </c>
      <c r="L41" s="1">
        <f t="shared" si="1"/>
        <v>18.880800000000001</v>
      </c>
      <c r="M41" s="1">
        <v>9.4404000000000003</v>
      </c>
      <c r="N41" s="1">
        <v>309.13</v>
      </c>
      <c r="O41" s="1">
        <v>313.51</v>
      </c>
      <c r="P41" s="1">
        <v>308.62</v>
      </c>
      <c r="Q41" s="1"/>
      <c r="R41" s="1"/>
      <c r="S41" s="1"/>
    </row>
    <row r="42" spans="1:19">
      <c r="B42" s="1"/>
      <c r="C42" s="1"/>
      <c r="D42" s="1">
        <v>1.0107999999999999</v>
      </c>
      <c r="E42" s="1">
        <v>650</v>
      </c>
      <c r="F42" s="1">
        <v>293.54000000000002</v>
      </c>
      <c r="G42" s="1">
        <v>304.05</v>
      </c>
      <c r="H42" s="1">
        <v>13306</v>
      </c>
      <c r="I42" s="1">
        <v>143.47999999999999</v>
      </c>
      <c r="J42" s="1">
        <f t="shared" si="0"/>
        <v>13162.52</v>
      </c>
      <c r="K42" s="1">
        <v>307.68</v>
      </c>
      <c r="L42" s="1">
        <f t="shared" si="1"/>
        <v>18.908999999999999</v>
      </c>
      <c r="M42" s="1">
        <v>9.4544999999999995</v>
      </c>
      <c r="N42" s="1">
        <v>308.19</v>
      </c>
      <c r="O42" s="1">
        <v>312.27999999999997</v>
      </c>
      <c r="P42" s="1">
        <v>307.68</v>
      </c>
      <c r="Q42" s="1"/>
      <c r="R42" s="1"/>
      <c r="S42" s="1"/>
    </row>
    <row r="43" spans="1:19">
      <c r="B43" s="1"/>
      <c r="C43" s="1"/>
      <c r="D43" s="1">
        <v>1.0885</v>
      </c>
      <c r="E43" s="1">
        <v>700</v>
      </c>
      <c r="F43" s="1">
        <v>293.5</v>
      </c>
      <c r="G43" s="1">
        <v>303.33</v>
      </c>
      <c r="H43" s="1">
        <v>14795</v>
      </c>
      <c r="I43" s="1">
        <v>113.25</v>
      </c>
      <c r="J43" s="1">
        <f t="shared" si="0"/>
        <v>14681.75</v>
      </c>
      <c r="K43" s="1">
        <v>306.89999999999998</v>
      </c>
      <c r="L43" s="1">
        <f t="shared" si="1"/>
        <v>18.936800000000002</v>
      </c>
      <c r="M43" s="1">
        <v>9.4684000000000008</v>
      </c>
      <c r="N43" s="1">
        <v>307.39999999999998</v>
      </c>
      <c r="O43" s="1">
        <v>311.27999999999997</v>
      </c>
      <c r="P43" s="1">
        <v>306.89999999999998</v>
      </c>
      <c r="Q43" s="1"/>
      <c r="R43" s="1"/>
      <c r="S43" s="1"/>
    </row>
    <row r="44" spans="1:19">
      <c r="B44" s="1"/>
      <c r="C44" s="1"/>
      <c r="D44" s="1">
        <v>1.1662999999999999</v>
      </c>
      <c r="E44" s="1">
        <v>750</v>
      </c>
      <c r="F44" s="1">
        <v>293.47000000000003</v>
      </c>
      <c r="G44" s="1">
        <v>302.69</v>
      </c>
      <c r="H44" s="1">
        <v>16345</v>
      </c>
      <c r="I44" s="1">
        <v>76.197000000000003</v>
      </c>
      <c r="J44" s="1">
        <f t="shared" si="0"/>
        <v>16268.803</v>
      </c>
      <c r="K44" s="1">
        <v>306.22000000000003</v>
      </c>
      <c r="L44" s="1">
        <f t="shared" si="1"/>
        <v>18.9664</v>
      </c>
      <c r="M44" s="1">
        <v>9.4832000000000001</v>
      </c>
      <c r="N44" s="1">
        <v>306.72000000000003</v>
      </c>
      <c r="O44" s="1">
        <v>310.39999999999998</v>
      </c>
      <c r="P44" s="1">
        <v>306.22000000000003</v>
      </c>
      <c r="Q44" s="1"/>
      <c r="R44" s="1"/>
      <c r="S44" s="1"/>
    </row>
    <row r="45" spans="1:19">
      <c r="C45" s="1"/>
      <c r="D45" s="1">
        <v>1.244</v>
      </c>
      <c r="E45" s="1">
        <v>800</v>
      </c>
      <c r="F45" s="1">
        <v>293.44</v>
      </c>
      <c r="G45" s="1">
        <v>302.12</v>
      </c>
      <c r="H45" s="1">
        <v>17950</v>
      </c>
      <c r="I45" s="1">
        <v>32.582999999999998</v>
      </c>
      <c r="J45" s="1">
        <f t="shared" si="0"/>
        <v>17917.417000000001</v>
      </c>
      <c r="K45" s="1">
        <v>305.61</v>
      </c>
      <c r="L45" s="1">
        <f t="shared" si="1"/>
        <v>18.9742</v>
      </c>
      <c r="M45" s="1">
        <v>9.4870999999999999</v>
      </c>
      <c r="N45" s="1">
        <v>306.11</v>
      </c>
      <c r="O45" s="1">
        <v>309.61</v>
      </c>
      <c r="P45" s="1">
        <v>305.61</v>
      </c>
      <c r="Q45" s="1"/>
      <c r="R45" s="1"/>
      <c r="S45" s="1"/>
    </row>
    <row r="46" spans="1:19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>
      <c r="A47" t="s">
        <v>19</v>
      </c>
      <c r="B47" t="s">
        <v>20</v>
      </c>
      <c r="C47" t="s">
        <v>21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>
      <c r="A48" s="1">
        <v>5</v>
      </c>
      <c r="B48" s="1">
        <v>0.15</v>
      </c>
      <c r="C48" s="1">
        <v>0.45</v>
      </c>
      <c r="D48" s="1" t="s">
        <v>0</v>
      </c>
      <c r="E48" s="1" t="s">
        <v>1</v>
      </c>
      <c r="F48" s="1" t="s">
        <v>2</v>
      </c>
      <c r="G48" s="1" t="s">
        <v>3</v>
      </c>
      <c r="H48" s="1" t="s">
        <v>4</v>
      </c>
      <c r="I48" s="1" t="s">
        <v>5</v>
      </c>
      <c r="J48" s="1" t="s">
        <v>6</v>
      </c>
      <c r="K48" s="1" t="s">
        <v>7</v>
      </c>
      <c r="L48" s="1" t="s">
        <v>8</v>
      </c>
      <c r="M48" s="1"/>
      <c r="N48" s="1" t="s">
        <v>9</v>
      </c>
      <c r="O48" s="1" t="s">
        <v>10</v>
      </c>
      <c r="P48" s="1" t="s">
        <v>11</v>
      </c>
      <c r="Q48" s="1" t="s">
        <v>12</v>
      </c>
      <c r="R48" s="1" t="s">
        <v>13</v>
      </c>
      <c r="S48" s="1" t="s">
        <v>14</v>
      </c>
    </row>
    <row r="49" spans="1:19">
      <c r="B49" s="1"/>
      <c r="C49" s="1"/>
      <c r="D49" s="1">
        <v>0.38879999999999998</v>
      </c>
      <c r="E49" s="1">
        <v>250</v>
      </c>
      <c r="F49" s="1">
        <v>294.61</v>
      </c>
      <c r="G49" s="1">
        <v>321.22000000000003</v>
      </c>
      <c r="H49" s="1">
        <v>3890.9</v>
      </c>
      <c r="I49" s="1">
        <v>171.42</v>
      </c>
      <c r="J49" s="1">
        <f t="shared" si="0"/>
        <v>3719.48</v>
      </c>
      <c r="K49" s="1">
        <v>324.45999999999998</v>
      </c>
      <c r="L49" s="1">
        <f t="shared" si="1"/>
        <v>18.433</v>
      </c>
      <c r="M49" s="1">
        <v>9.2164999999999999</v>
      </c>
      <c r="N49" s="1">
        <v>325</v>
      </c>
      <c r="O49" s="1">
        <v>334.64</v>
      </c>
      <c r="P49" s="1">
        <v>324.45999999999998</v>
      </c>
      <c r="Q49" s="1"/>
      <c r="R49" s="1"/>
      <c r="S49" s="1"/>
    </row>
    <row r="50" spans="1:19">
      <c r="B50" s="1"/>
      <c r="C50" s="1"/>
      <c r="D50" s="1">
        <v>0.46650000000000003</v>
      </c>
      <c r="E50" s="1">
        <v>300</v>
      </c>
      <c r="F50" s="1">
        <v>294.27999999999997</v>
      </c>
      <c r="G50" s="1">
        <v>316.63</v>
      </c>
      <c r="H50" s="1">
        <v>4904.8999999999996</v>
      </c>
      <c r="I50" s="1">
        <v>189.3</v>
      </c>
      <c r="J50" s="1">
        <f t="shared" si="0"/>
        <v>4715.5999999999995</v>
      </c>
      <c r="K50" s="1">
        <v>320.05</v>
      </c>
      <c r="L50" s="1">
        <f t="shared" si="1"/>
        <v>18.5242</v>
      </c>
      <c r="M50" s="1">
        <v>9.2621000000000002</v>
      </c>
      <c r="N50" s="1">
        <v>320.57</v>
      </c>
      <c r="O50" s="1">
        <v>328.64</v>
      </c>
      <c r="P50" s="1">
        <v>320.05</v>
      </c>
      <c r="Q50" s="1"/>
      <c r="R50" s="1"/>
      <c r="S50" s="1"/>
    </row>
    <row r="51" spans="1:19">
      <c r="B51" s="1"/>
      <c r="C51" s="1"/>
      <c r="D51" s="1">
        <v>0.54430000000000001</v>
      </c>
      <c r="E51" s="1">
        <v>350</v>
      </c>
      <c r="F51" s="1">
        <v>294.06</v>
      </c>
      <c r="G51" s="1">
        <v>313.27</v>
      </c>
      <c r="H51" s="1">
        <v>5995.5</v>
      </c>
      <c r="I51" s="1">
        <v>203.48</v>
      </c>
      <c r="J51" s="1">
        <f t="shared" si="0"/>
        <v>5792.02</v>
      </c>
      <c r="K51" s="1">
        <v>316.77999999999997</v>
      </c>
      <c r="L51" s="1">
        <f t="shared" si="1"/>
        <v>18.604800000000001</v>
      </c>
      <c r="M51" s="1">
        <v>9.3024000000000004</v>
      </c>
      <c r="N51" s="1">
        <v>317.27999999999997</v>
      </c>
      <c r="O51" s="1">
        <v>324.22000000000003</v>
      </c>
      <c r="P51" s="1">
        <v>316.77999999999997</v>
      </c>
      <c r="Q51" s="1"/>
      <c r="R51" s="1"/>
      <c r="S51" s="1"/>
    </row>
    <row r="52" spans="1:19">
      <c r="B52" s="1"/>
      <c r="C52" s="1"/>
      <c r="D52" s="1">
        <v>0.622</v>
      </c>
      <c r="E52" s="1">
        <v>400</v>
      </c>
      <c r="F52" s="1">
        <v>293.89999999999998</v>
      </c>
      <c r="G52" s="1">
        <v>310.64999999999998</v>
      </c>
      <c r="H52" s="1">
        <v>7160.1</v>
      </c>
      <c r="I52" s="1">
        <v>214.19</v>
      </c>
      <c r="J52" s="1">
        <f t="shared" si="0"/>
        <v>6945.9100000000008</v>
      </c>
      <c r="K52" s="1">
        <v>314.26</v>
      </c>
      <c r="L52" s="1">
        <f t="shared" si="1"/>
        <v>18.6694</v>
      </c>
      <c r="M52" s="1">
        <v>9.3346999999999998</v>
      </c>
      <c r="N52" s="1">
        <v>314.75</v>
      </c>
      <c r="O52" s="1">
        <v>320.8</v>
      </c>
      <c r="P52" s="1">
        <v>314.26</v>
      </c>
      <c r="Q52" s="1"/>
      <c r="R52" s="1"/>
      <c r="S52" s="1"/>
    </row>
    <row r="53" spans="1:19">
      <c r="B53" s="1"/>
      <c r="C53" s="1"/>
      <c r="D53" s="1">
        <v>0.69979999999999998</v>
      </c>
      <c r="E53" s="1">
        <v>450</v>
      </c>
      <c r="F53" s="1">
        <v>293.79000000000002</v>
      </c>
      <c r="G53" s="1">
        <v>308.58</v>
      </c>
      <c r="H53" s="1">
        <v>8399.9</v>
      </c>
      <c r="I53" s="1">
        <v>221.14</v>
      </c>
      <c r="J53" s="1">
        <f t="shared" si="0"/>
        <v>8178.7599999999993</v>
      </c>
      <c r="K53" s="1">
        <v>312.27</v>
      </c>
      <c r="L53" s="1">
        <f t="shared" si="1"/>
        <v>18.7196</v>
      </c>
      <c r="M53" s="1">
        <v>9.3597999999999999</v>
      </c>
      <c r="N53" s="1">
        <v>312.75</v>
      </c>
      <c r="O53" s="1">
        <v>318.12</v>
      </c>
      <c r="P53" s="1">
        <v>312.27</v>
      </c>
      <c r="Q53" s="1"/>
      <c r="R53" s="1"/>
      <c r="S53" s="1"/>
    </row>
    <row r="54" spans="1:19">
      <c r="B54" s="1"/>
      <c r="C54" s="1"/>
      <c r="D54" s="1">
        <v>0.77749999999999997</v>
      </c>
      <c r="E54" s="1">
        <v>500</v>
      </c>
      <c r="F54" s="1">
        <v>293.7</v>
      </c>
      <c r="G54" s="1">
        <v>307.38</v>
      </c>
      <c r="H54" s="1">
        <v>9706</v>
      </c>
      <c r="I54" s="1">
        <v>222.78</v>
      </c>
      <c r="J54" s="1">
        <f t="shared" si="0"/>
        <v>9483.2199999999993</v>
      </c>
      <c r="K54" s="1">
        <v>310.82</v>
      </c>
      <c r="L54" s="1">
        <f t="shared" si="1"/>
        <v>18.772600000000001</v>
      </c>
      <c r="M54" s="1">
        <v>9.3863000000000003</v>
      </c>
      <c r="N54" s="1">
        <v>311.3</v>
      </c>
      <c r="O54" s="1">
        <v>316.33999999999997</v>
      </c>
      <c r="P54" s="1">
        <v>310.82</v>
      </c>
      <c r="Q54" s="1"/>
      <c r="R54" s="1"/>
      <c r="S54" s="1"/>
    </row>
    <row r="55" spans="1:19">
      <c r="B55" s="1"/>
      <c r="C55" s="1"/>
      <c r="D55" s="1">
        <v>0.85529999999999995</v>
      </c>
      <c r="E55" s="1">
        <v>550</v>
      </c>
      <c r="F55" s="1">
        <v>293.64</v>
      </c>
      <c r="G55" s="1">
        <v>306.18</v>
      </c>
      <c r="H55" s="1">
        <v>11084</v>
      </c>
      <c r="I55" s="1">
        <v>217.78</v>
      </c>
      <c r="J55" s="1">
        <f t="shared" si="0"/>
        <v>10866.22</v>
      </c>
      <c r="K55" s="1">
        <v>309.55</v>
      </c>
      <c r="L55" s="1">
        <f t="shared" si="1"/>
        <v>18.809000000000001</v>
      </c>
      <c r="M55" s="1">
        <v>9.4045000000000005</v>
      </c>
      <c r="N55" s="1">
        <v>310.02999999999997</v>
      </c>
      <c r="O55" s="1">
        <v>314.70999999999998</v>
      </c>
      <c r="P55" s="1">
        <v>309.55</v>
      </c>
      <c r="Q55" s="1"/>
      <c r="R55" s="1"/>
      <c r="S55" s="1"/>
    </row>
    <row r="56" spans="1:19">
      <c r="B56" s="1"/>
      <c r="C56" s="1"/>
      <c r="D56" s="1">
        <v>0.93300000000000005</v>
      </c>
      <c r="E56" s="1">
        <v>600</v>
      </c>
      <c r="F56" s="1">
        <v>293.58</v>
      </c>
      <c r="G56" s="1">
        <v>305.11</v>
      </c>
      <c r="H56" s="1">
        <v>12533</v>
      </c>
      <c r="I56" s="1">
        <v>205.21</v>
      </c>
      <c r="J56" s="1">
        <f t="shared" si="0"/>
        <v>12327.79</v>
      </c>
      <c r="K56" s="1">
        <v>308.47000000000003</v>
      </c>
      <c r="L56" s="1">
        <f t="shared" si="1"/>
        <v>18.841000000000001</v>
      </c>
      <c r="M56" s="1">
        <v>9.4205000000000005</v>
      </c>
      <c r="N56" s="1">
        <v>308.94</v>
      </c>
      <c r="O56" s="1">
        <v>313.3</v>
      </c>
      <c r="P56" s="1">
        <v>308.47000000000003</v>
      </c>
      <c r="Q56" s="1"/>
      <c r="R56" s="1"/>
      <c r="S56" s="1"/>
    </row>
    <row r="57" spans="1:19">
      <c r="B57" s="1"/>
      <c r="C57" s="1"/>
      <c r="D57" s="1">
        <v>1.0107999999999999</v>
      </c>
      <c r="E57" s="1">
        <v>650</v>
      </c>
      <c r="F57" s="1">
        <v>293.54000000000002</v>
      </c>
      <c r="G57" s="1">
        <v>304.22000000000003</v>
      </c>
      <c r="H57" s="1">
        <v>14057</v>
      </c>
      <c r="I57" s="1">
        <v>184.33</v>
      </c>
      <c r="J57" s="1">
        <f t="shared" si="0"/>
        <v>13872.67</v>
      </c>
      <c r="K57" s="1">
        <v>307.55</v>
      </c>
      <c r="L57" s="1">
        <f t="shared" si="1"/>
        <v>18.860800000000001</v>
      </c>
      <c r="M57" s="1">
        <v>9.4304000000000006</v>
      </c>
      <c r="N57" s="1">
        <v>308.02</v>
      </c>
      <c r="O57" s="1">
        <v>312.11</v>
      </c>
      <c r="P57" s="1">
        <v>307.55</v>
      </c>
      <c r="Q57" s="1"/>
      <c r="R57" s="1"/>
      <c r="S57" s="1"/>
    </row>
    <row r="58" spans="1:19">
      <c r="B58" s="1"/>
      <c r="C58" s="1"/>
      <c r="D58" s="1">
        <v>1.0885</v>
      </c>
      <c r="E58" s="1">
        <v>700</v>
      </c>
      <c r="F58" s="1">
        <v>293.5</v>
      </c>
      <c r="G58" s="1">
        <v>303.42</v>
      </c>
      <c r="H58" s="1">
        <v>15652</v>
      </c>
      <c r="I58" s="1">
        <v>155.47999999999999</v>
      </c>
      <c r="J58" s="1">
        <f t="shared" si="0"/>
        <v>15496.52</v>
      </c>
      <c r="K58" s="1">
        <v>306.76</v>
      </c>
      <c r="L58" s="1">
        <f t="shared" si="1"/>
        <v>18.884399999999999</v>
      </c>
      <c r="M58" s="1">
        <v>9.4421999999999997</v>
      </c>
      <c r="N58" s="1">
        <v>307.23</v>
      </c>
      <c r="O58" s="1">
        <v>311.07</v>
      </c>
      <c r="P58" s="1">
        <v>306.76</v>
      </c>
      <c r="Q58" s="1"/>
      <c r="R58" s="1"/>
      <c r="S58" s="1"/>
    </row>
    <row r="59" spans="1:19">
      <c r="B59" s="1"/>
      <c r="C59" s="1"/>
      <c r="D59" s="1">
        <v>1.1662999999999999</v>
      </c>
      <c r="E59" s="1">
        <v>750</v>
      </c>
      <c r="F59" s="1">
        <v>293.47000000000003</v>
      </c>
      <c r="G59" s="1">
        <v>302.70999999999998</v>
      </c>
      <c r="H59" s="1">
        <v>17323</v>
      </c>
      <c r="I59" s="1">
        <v>119.28</v>
      </c>
      <c r="J59" s="1">
        <f t="shared" si="0"/>
        <v>17203.72</v>
      </c>
      <c r="K59" s="1">
        <v>306.06</v>
      </c>
      <c r="L59" s="1">
        <f t="shared" si="1"/>
        <v>18.881399999999999</v>
      </c>
      <c r="M59" s="1">
        <v>9.4406999999999996</v>
      </c>
      <c r="N59" s="1">
        <v>306.52999999999997</v>
      </c>
      <c r="O59" s="1">
        <v>310.14999999999998</v>
      </c>
      <c r="P59" s="1">
        <v>306.06</v>
      </c>
      <c r="Q59" s="1"/>
      <c r="R59" s="1"/>
      <c r="S59" s="1"/>
    </row>
    <row r="60" spans="1:19">
      <c r="B60" s="1"/>
      <c r="C60" s="1"/>
      <c r="D60" s="1">
        <v>1.244</v>
      </c>
      <c r="E60" s="1">
        <v>800</v>
      </c>
      <c r="F60" s="1">
        <v>293.44</v>
      </c>
      <c r="G60" s="1">
        <v>302.11</v>
      </c>
      <c r="H60" s="1">
        <v>19067</v>
      </c>
      <c r="I60" s="1">
        <v>77.290000000000006</v>
      </c>
      <c r="J60" s="1">
        <f t="shared" si="0"/>
        <v>18989.71</v>
      </c>
      <c r="K60" s="1">
        <v>305.45</v>
      </c>
      <c r="L60" s="1">
        <f t="shared" si="1"/>
        <v>18.900400000000001</v>
      </c>
      <c r="M60" s="1">
        <v>9.4502000000000006</v>
      </c>
      <c r="N60" s="1">
        <v>305.92</v>
      </c>
      <c r="O60" s="1">
        <v>309.35000000000002</v>
      </c>
      <c r="P60" s="1">
        <v>305.45</v>
      </c>
      <c r="Q60" s="1"/>
      <c r="R60" s="1"/>
      <c r="S60" s="1"/>
    </row>
    <row r="61" spans="1:19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>
      <c r="A62" t="s">
        <v>19</v>
      </c>
      <c r="B62" t="s">
        <v>20</v>
      </c>
      <c r="C62" t="s">
        <v>21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>
      <c r="A63" s="1">
        <v>5</v>
      </c>
      <c r="B63" s="1">
        <v>0.15</v>
      </c>
      <c r="C63" s="1">
        <v>0.6</v>
      </c>
      <c r="D63" s="1" t="s">
        <v>0</v>
      </c>
      <c r="E63" s="1" t="s">
        <v>1</v>
      </c>
      <c r="F63" s="1" t="s">
        <v>2</v>
      </c>
      <c r="G63" s="1" t="s">
        <v>3</v>
      </c>
      <c r="H63" s="1" t="s">
        <v>4</v>
      </c>
      <c r="I63" s="1" t="s">
        <v>5</v>
      </c>
      <c r="J63" s="1" t="s">
        <v>6</v>
      </c>
      <c r="K63" s="1" t="s">
        <v>7</v>
      </c>
      <c r="L63" s="1" t="s">
        <v>8</v>
      </c>
      <c r="M63" s="1"/>
      <c r="N63" s="1" t="s">
        <v>9</v>
      </c>
      <c r="O63" s="1" t="s">
        <v>10</v>
      </c>
      <c r="P63" s="1" t="s">
        <v>11</v>
      </c>
      <c r="Q63" s="1" t="s">
        <v>12</v>
      </c>
      <c r="R63" s="1" t="s">
        <v>13</v>
      </c>
      <c r="S63" s="1" t="s">
        <v>14</v>
      </c>
    </row>
    <row r="64" spans="1:19">
      <c r="C64" s="1"/>
      <c r="D64" s="1">
        <v>0.38879999999999998</v>
      </c>
      <c r="E64" s="1">
        <v>250</v>
      </c>
      <c r="F64" s="1">
        <v>294.5</v>
      </c>
      <c r="G64" s="1">
        <v>321.39</v>
      </c>
      <c r="H64" s="1">
        <v>4265.6000000000004</v>
      </c>
      <c r="I64" s="1">
        <v>172.99</v>
      </c>
      <c r="J64" s="1">
        <f t="shared" si="0"/>
        <v>4092.6100000000006</v>
      </c>
      <c r="K64" s="1">
        <v>324.20999999999998</v>
      </c>
      <c r="L64" s="1">
        <f t="shared" si="1"/>
        <v>18.4908</v>
      </c>
      <c r="M64" s="1">
        <v>9.2454000000000001</v>
      </c>
      <c r="N64" s="1">
        <v>324.98</v>
      </c>
      <c r="O64" s="1">
        <v>335.52</v>
      </c>
      <c r="P64" s="1">
        <v>324.20999999999998</v>
      </c>
      <c r="Q64" s="1"/>
      <c r="R64" s="1"/>
      <c r="S64" s="1"/>
    </row>
    <row r="65" spans="2:19">
      <c r="B65" s="1"/>
      <c r="C65" s="1"/>
      <c r="D65" s="1">
        <v>0.46650000000000003</v>
      </c>
      <c r="E65" s="1">
        <v>300</v>
      </c>
      <c r="F65" s="1">
        <v>294.20999999999998</v>
      </c>
      <c r="G65" s="1">
        <v>316.52</v>
      </c>
      <c r="H65" s="1">
        <v>5333.5</v>
      </c>
      <c r="I65" s="1">
        <v>190.58</v>
      </c>
      <c r="J65" s="1">
        <f t="shared" si="0"/>
        <v>5142.92</v>
      </c>
      <c r="K65" s="1">
        <v>320.32</v>
      </c>
      <c r="L65" s="1">
        <f t="shared" si="1"/>
        <v>18.558</v>
      </c>
      <c r="M65" s="1">
        <v>9.2789999999999999</v>
      </c>
      <c r="N65" s="1">
        <v>321.05</v>
      </c>
      <c r="O65" s="1">
        <v>329.87</v>
      </c>
      <c r="P65" s="1">
        <v>320.32</v>
      </c>
      <c r="Q65" s="1"/>
      <c r="R65" s="1"/>
      <c r="S65" s="1"/>
    </row>
    <row r="66" spans="2:19">
      <c r="B66" s="1"/>
      <c r="C66" s="1"/>
      <c r="D66" s="1">
        <v>0.54430000000000001</v>
      </c>
      <c r="E66" s="1">
        <v>350</v>
      </c>
      <c r="F66" s="1">
        <v>294.01</v>
      </c>
      <c r="G66" s="1">
        <v>313.14999999999998</v>
      </c>
      <c r="H66" s="1">
        <v>6463</v>
      </c>
      <c r="I66" s="1">
        <v>202.61</v>
      </c>
      <c r="J66" s="1">
        <f t="shared" si="0"/>
        <v>6260.39</v>
      </c>
      <c r="K66" s="1">
        <v>317.41000000000003</v>
      </c>
      <c r="L66" s="1">
        <f t="shared" si="1"/>
        <v>18.619199999999999</v>
      </c>
      <c r="M66" s="1">
        <v>9.3095999999999997</v>
      </c>
      <c r="N66" s="1">
        <v>318.12</v>
      </c>
      <c r="O66" s="1">
        <v>325.73</v>
      </c>
      <c r="P66" s="1">
        <v>317.41000000000003</v>
      </c>
      <c r="Q66" s="1"/>
      <c r="R66" s="1"/>
      <c r="S66" s="1"/>
    </row>
    <row r="67" spans="2:19">
      <c r="B67" s="1"/>
      <c r="C67" s="1"/>
      <c r="D67" s="1">
        <v>0.622</v>
      </c>
      <c r="E67" s="1">
        <v>400</v>
      </c>
      <c r="F67" s="1">
        <v>293.88</v>
      </c>
      <c r="G67" s="1">
        <v>310.74</v>
      </c>
      <c r="H67" s="1">
        <v>7652.5</v>
      </c>
      <c r="I67" s="1">
        <v>208.54</v>
      </c>
      <c r="J67" s="1">
        <f t="shared" si="0"/>
        <v>7443.96</v>
      </c>
      <c r="K67" s="1">
        <v>315.16000000000003</v>
      </c>
      <c r="L67" s="1">
        <f t="shared" si="1"/>
        <v>18.6722</v>
      </c>
      <c r="M67" s="1">
        <v>9.3361000000000001</v>
      </c>
      <c r="N67" s="1">
        <v>315.83999999999997</v>
      </c>
      <c r="O67" s="1">
        <v>322.58</v>
      </c>
      <c r="P67" s="1">
        <v>315.16000000000003</v>
      </c>
      <c r="Q67" s="1"/>
      <c r="R67" s="1"/>
      <c r="S67" s="1"/>
    </row>
    <row r="68" spans="2:19">
      <c r="B68" s="1"/>
      <c r="C68" s="1"/>
      <c r="D68" s="1">
        <v>0.69979999999999998</v>
      </c>
      <c r="E68" s="1">
        <v>450</v>
      </c>
      <c r="F68" s="1">
        <v>293.77</v>
      </c>
      <c r="G68" s="1">
        <v>308.7</v>
      </c>
      <c r="H68" s="1">
        <v>8908.1</v>
      </c>
      <c r="I68" s="1">
        <v>208.22</v>
      </c>
      <c r="J68" s="1">
        <f t="shared" si="0"/>
        <v>8699.880000000001</v>
      </c>
      <c r="K68" s="1">
        <v>313.27999999999997</v>
      </c>
      <c r="L68" s="1">
        <f t="shared" si="1"/>
        <v>18.716200000000001</v>
      </c>
      <c r="M68" s="1">
        <v>9.3581000000000003</v>
      </c>
      <c r="N68" s="1">
        <v>313.95</v>
      </c>
      <c r="O68" s="1">
        <v>319.93</v>
      </c>
      <c r="P68" s="1">
        <v>313.27999999999997</v>
      </c>
      <c r="Q68" s="1"/>
      <c r="R68" s="1"/>
      <c r="S68" s="1"/>
    </row>
    <row r="69" spans="2:19">
      <c r="B69" s="1"/>
      <c r="C69" s="1"/>
      <c r="D69" s="1">
        <v>0.77749999999999997</v>
      </c>
      <c r="E69" s="1">
        <v>500</v>
      </c>
      <c r="F69" s="1">
        <v>293.69</v>
      </c>
      <c r="G69" s="1">
        <v>307.2</v>
      </c>
      <c r="H69" s="1">
        <v>10228</v>
      </c>
      <c r="I69" s="1">
        <v>201.23</v>
      </c>
      <c r="J69" s="1">
        <f t="shared" si="0"/>
        <v>10026.77</v>
      </c>
      <c r="K69" s="1">
        <v>311.79000000000002</v>
      </c>
      <c r="L69" s="1">
        <f t="shared" si="1"/>
        <v>18.755600000000001</v>
      </c>
      <c r="M69" s="1">
        <v>9.3778000000000006</v>
      </c>
      <c r="N69" s="1">
        <v>312.44</v>
      </c>
      <c r="O69" s="1">
        <v>317.87</v>
      </c>
      <c r="P69" s="1">
        <v>311.79000000000002</v>
      </c>
      <c r="Q69" s="1"/>
      <c r="R69" s="1"/>
      <c r="S69" s="1"/>
    </row>
    <row r="70" spans="2:19">
      <c r="B70" s="1"/>
      <c r="C70" s="1"/>
      <c r="D70" s="1">
        <v>0.85529999999999995</v>
      </c>
      <c r="E70" s="1">
        <v>550</v>
      </c>
      <c r="F70" s="1">
        <v>293.63</v>
      </c>
      <c r="G70" s="1">
        <v>305.85000000000002</v>
      </c>
      <c r="H70" s="1">
        <v>11618</v>
      </c>
      <c r="I70" s="1">
        <v>187.57</v>
      </c>
      <c r="J70" s="1">
        <f t="shared" ref="J70:J75" si="2">H70-I70</f>
        <v>11430.43</v>
      </c>
      <c r="K70" s="1">
        <v>310.5</v>
      </c>
      <c r="L70" s="1">
        <f t="shared" ref="L70:L75" si="3">M70*2</f>
        <v>18.786200000000001</v>
      </c>
      <c r="M70" s="1">
        <v>9.3931000000000004</v>
      </c>
      <c r="N70" s="1">
        <v>311.14</v>
      </c>
      <c r="O70" s="1">
        <v>316.06</v>
      </c>
      <c r="P70" s="1">
        <v>310.5</v>
      </c>
      <c r="Q70" s="1"/>
      <c r="R70" s="1"/>
      <c r="S70" s="1"/>
    </row>
    <row r="71" spans="2:19">
      <c r="B71" s="1"/>
      <c r="C71" s="1"/>
      <c r="D71" s="1">
        <v>0.93300000000000005</v>
      </c>
      <c r="E71" s="1">
        <v>600</v>
      </c>
      <c r="F71" s="1">
        <v>293.58</v>
      </c>
      <c r="G71" s="1">
        <v>304.94</v>
      </c>
      <c r="H71" s="1">
        <v>13075</v>
      </c>
      <c r="I71" s="1">
        <v>166.55</v>
      </c>
      <c r="J71" s="1">
        <f t="shared" si="2"/>
        <v>12908.45</v>
      </c>
      <c r="K71" s="1">
        <v>309.47000000000003</v>
      </c>
      <c r="L71" s="1">
        <f t="shared" si="3"/>
        <v>18.816199999999998</v>
      </c>
      <c r="M71" s="1">
        <v>9.4080999999999992</v>
      </c>
      <c r="N71" s="1">
        <v>310.10000000000002</v>
      </c>
      <c r="O71" s="1">
        <v>314.7</v>
      </c>
      <c r="P71" s="1">
        <v>309.47000000000003</v>
      </c>
      <c r="Q71" s="1"/>
      <c r="R71" s="1"/>
      <c r="S71" s="1"/>
    </row>
    <row r="72" spans="2:19">
      <c r="B72" s="1"/>
      <c r="C72" s="1"/>
      <c r="D72" s="1">
        <v>1.0107999999999999</v>
      </c>
      <c r="E72" s="1">
        <v>650</v>
      </c>
      <c r="F72" s="1">
        <v>293.54000000000002</v>
      </c>
      <c r="G72" s="1">
        <v>303.95</v>
      </c>
      <c r="H72" s="1">
        <v>14603</v>
      </c>
      <c r="I72" s="1">
        <v>138.88999999999999</v>
      </c>
      <c r="J72" s="1">
        <f t="shared" si="2"/>
        <v>14464.11</v>
      </c>
      <c r="K72" s="1">
        <v>308.52</v>
      </c>
      <c r="L72" s="1">
        <f t="shared" si="3"/>
        <v>18.836600000000001</v>
      </c>
      <c r="M72" s="1">
        <v>9.4183000000000003</v>
      </c>
      <c r="N72" s="1">
        <v>309.13</v>
      </c>
      <c r="O72" s="1">
        <v>313.37</v>
      </c>
      <c r="P72" s="1">
        <v>308.52</v>
      </c>
      <c r="Q72" s="1"/>
      <c r="R72" s="1"/>
      <c r="S72" s="1"/>
    </row>
    <row r="73" spans="2:19">
      <c r="B73" s="1"/>
      <c r="C73" s="1"/>
      <c r="D73" s="1">
        <v>1.0885</v>
      </c>
      <c r="E73" s="1">
        <v>700</v>
      </c>
      <c r="F73" s="1">
        <v>293.5</v>
      </c>
      <c r="G73" s="1">
        <v>303.20999999999998</v>
      </c>
      <c r="H73" s="1">
        <v>16198</v>
      </c>
      <c r="I73" s="1">
        <v>103.9</v>
      </c>
      <c r="J73" s="1">
        <f t="shared" si="2"/>
        <v>16094.1</v>
      </c>
      <c r="K73" s="1">
        <v>307.72000000000003</v>
      </c>
      <c r="L73" s="1">
        <f t="shared" si="3"/>
        <v>18.857399999999998</v>
      </c>
      <c r="M73" s="1">
        <v>9.4286999999999992</v>
      </c>
      <c r="N73" s="1">
        <v>308.33</v>
      </c>
      <c r="O73" s="1">
        <v>312.3</v>
      </c>
      <c r="P73" s="1">
        <v>307.72000000000003</v>
      </c>
      <c r="Q73" s="1"/>
      <c r="R73" s="1"/>
      <c r="S73" s="1"/>
    </row>
    <row r="74" spans="2:19">
      <c r="B74" s="1"/>
      <c r="C74" s="1"/>
      <c r="D74" s="1">
        <v>1.1662999999999999</v>
      </c>
      <c r="E74" s="1">
        <v>750</v>
      </c>
      <c r="F74" s="1">
        <v>293.47000000000003</v>
      </c>
      <c r="G74" s="1">
        <v>302.5</v>
      </c>
      <c r="H74" s="1">
        <v>17860</v>
      </c>
      <c r="I74" s="1">
        <v>61.847999999999999</v>
      </c>
      <c r="J74" s="1">
        <f t="shared" si="2"/>
        <v>17798.151999999998</v>
      </c>
      <c r="K74" s="1">
        <v>307</v>
      </c>
      <c r="L74" s="1">
        <f t="shared" si="3"/>
        <v>18.872</v>
      </c>
      <c r="M74" s="1">
        <v>9.4359999999999999</v>
      </c>
      <c r="N74" s="1">
        <v>307.60000000000002</v>
      </c>
      <c r="O74" s="1">
        <v>311.3</v>
      </c>
      <c r="P74" s="1">
        <v>307</v>
      </c>
      <c r="Q74" s="1"/>
      <c r="R74" s="1"/>
      <c r="S74" s="1"/>
    </row>
    <row r="75" spans="2:19">
      <c r="B75" s="1"/>
      <c r="C75" s="1"/>
      <c r="D75" s="1">
        <v>1.244</v>
      </c>
      <c r="E75" s="1">
        <v>800</v>
      </c>
      <c r="F75" s="1">
        <v>293.45</v>
      </c>
      <c r="G75" s="1">
        <v>302.06</v>
      </c>
      <c r="H75" s="1">
        <v>19586</v>
      </c>
      <c r="I75" s="1">
        <v>12.417999999999999</v>
      </c>
      <c r="J75" s="1">
        <f t="shared" si="2"/>
        <v>19573.581999999999</v>
      </c>
      <c r="K75" s="1">
        <v>306.42</v>
      </c>
      <c r="L75" s="1">
        <f t="shared" si="3"/>
        <v>18.891200000000001</v>
      </c>
      <c r="M75" s="1">
        <v>9.4456000000000007</v>
      </c>
      <c r="N75" s="1">
        <v>307.01</v>
      </c>
      <c r="O75" s="1">
        <v>310.57</v>
      </c>
      <c r="P75" s="1">
        <v>306.42</v>
      </c>
      <c r="Q75" s="1"/>
      <c r="R75" s="1"/>
      <c r="S75" s="1"/>
    </row>
    <row r="76" spans="2:19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2:19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2:19" ht="4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3" t="s">
        <v>16</v>
      </c>
      <c r="R78" s="3" t="s">
        <v>15</v>
      </c>
      <c r="S78" s="3" t="s">
        <v>17</v>
      </c>
    </row>
    <row r="79" spans="2:19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4">
        <v>0.38879999999999998</v>
      </c>
      <c r="R79" s="4">
        <v>250</v>
      </c>
      <c r="S79" s="4">
        <v>5.7700000000000001E-2</v>
      </c>
    </row>
    <row r="80" spans="2:19">
      <c r="Q80" s="4">
        <v>0.46650000000000003</v>
      </c>
      <c r="R80" s="4">
        <v>300</v>
      </c>
      <c r="S80" s="4">
        <v>4.8500000000000001E-2</v>
      </c>
    </row>
    <row r="81" spans="17:19">
      <c r="Q81" s="4">
        <v>0.54430000000000001</v>
      </c>
      <c r="R81" s="4">
        <v>350</v>
      </c>
      <c r="S81" s="4">
        <v>4.19E-2</v>
      </c>
    </row>
    <row r="82" spans="17:19">
      <c r="Q82" s="4">
        <v>0.622</v>
      </c>
      <c r="R82" s="4">
        <v>400</v>
      </c>
      <c r="S82" s="4">
        <v>3.6900000000000002E-2</v>
      </c>
    </row>
    <row r="83" spans="17:19">
      <c r="Q83" s="4">
        <v>0.69979999999999998</v>
      </c>
      <c r="R83" s="4">
        <v>450</v>
      </c>
      <c r="S83" s="4">
        <v>3.3099999999999997E-2</v>
      </c>
    </row>
    <row r="84" spans="17:19">
      <c r="Q84" s="4">
        <v>0.77749999999999997</v>
      </c>
      <c r="R84" s="4">
        <v>500</v>
      </c>
      <c r="S84" s="4">
        <v>3.0099999999999998E-2</v>
      </c>
    </row>
    <row r="85" spans="17:19">
      <c r="Q85" s="4">
        <v>0.85529999999999995</v>
      </c>
      <c r="R85" s="4">
        <v>550</v>
      </c>
      <c r="S85" s="4">
        <v>2.75E-2</v>
      </c>
    </row>
    <row r="86" spans="17:19">
      <c r="Q86" s="4">
        <v>0.93300000000000005</v>
      </c>
      <c r="R86" s="4">
        <v>600</v>
      </c>
      <c r="S86" s="4">
        <v>2.5499999999999998E-2</v>
      </c>
    </row>
    <row r="87" spans="17:19">
      <c r="Q87" s="4">
        <v>1.0107999999999999</v>
      </c>
      <c r="R87" s="4">
        <v>650</v>
      </c>
      <c r="S87" s="4">
        <v>2.3699999999999999E-2</v>
      </c>
    </row>
    <row r="88" spans="17:19">
      <c r="Q88" s="4">
        <v>1.0885</v>
      </c>
      <c r="R88" s="4">
        <v>700</v>
      </c>
      <c r="S88" s="4">
        <v>2.2200000000000001E-2</v>
      </c>
    </row>
    <row r="89" spans="17:19">
      <c r="Q89" s="4">
        <v>1.1662999999999999</v>
      </c>
      <c r="R89" s="4">
        <v>750</v>
      </c>
      <c r="S89" s="4">
        <v>2.0899999999999998E-2</v>
      </c>
    </row>
    <row r="90" spans="17:19">
      <c r="Q90" s="5">
        <v>1.244</v>
      </c>
      <c r="R90" s="5">
        <v>800</v>
      </c>
      <c r="S90" s="5">
        <v>1.9699999999999999E-2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E3A3-07DE-4B45-BD4B-4BEFF395360A}">
  <dimension ref="A1:R81"/>
  <sheetViews>
    <sheetView topLeftCell="A46" workbookViewId="0">
      <selection activeCell="D36" sqref="D36:D47"/>
    </sheetView>
  </sheetViews>
  <sheetFormatPr defaultRowHeight="15"/>
  <cols>
    <col min="1" max="1" width="13.28515625" bestFit="1" customWidth="1"/>
    <col min="2" max="2" width="15.85546875" bestFit="1" customWidth="1"/>
    <col min="3" max="3" width="15.5703125" bestFit="1" customWidth="1"/>
  </cols>
  <sheetData>
    <row r="1" spans="1: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t="s">
        <v>19</v>
      </c>
      <c r="B3" t="s">
        <v>20</v>
      </c>
      <c r="C3" t="s">
        <v>21</v>
      </c>
      <c r="D3" s="1" t="s">
        <v>0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/>
      <c r="M3" s="1" t="s">
        <v>9</v>
      </c>
      <c r="N3" s="1" t="s">
        <v>10</v>
      </c>
      <c r="O3" s="1" t="s">
        <v>11</v>
      </c>
      <c r="P3" s="1" t="s">
        <v>12</v>
      </c>
      <c r="Q3" s="1" t="s">
        <v>13</v>
      </c>
      <c r="R3" s="1" t="s">
        <v>14</v>
      </c>
    </row>
    <row r="4" spans="1:18">
      <c r="A4" s="1">
        <v>5</v>
      </c>
      <c r="B4" s="1">
        <v>0.05</v>
      </c>
      <c r="C4" s="1">
        <v>0.3</v>
      </c>
      <c r="D4" s="1">
        <v>0.38879999999999998</v>
      </c>
      <c r="E4" s="1">
        <v>295.25</v>
      </c>
      <c r="F4" s="1">
        <v>320.77999999999997</v>
      </c>
      <c r="G4" s="1">
        <v>2738.8</v>
      </c>
      <c r="H4" s="1">
        <v>249.91</v>
      </c>
      <c r="I4" s="1">
        <f>G4-H4</f>
        <v>2488.8900000000003</v>
      </c>
      <c r="J4" s="1">
        <v>338.21</v>
      </c>
      <c r="K4" s="1">
        <f>L4*2</f>
        <v>15.605600000000001</v>
      </c>
      <c r="L4" s="1">
        <v>7.8028000000000004</v>
      </c>
      <c r="M4" s="1">
        <v>338.54</v>
      </c>
      <c r="N4" s="1">
        <v>349.28</v>
      </c>
      <c r="O4" s="1">
        <v>338.21</v>
      </c>
      <c r="P4" s="1"/>
      <c r="Q4" s="1"/>
      <c r="R4" s="1"/>
    </row>
    <row r="5" spans="1:18">
      <c r="A5" s="1"/>
      <c r="B5" s="1"/>
      <c r="D5" s="1">
        <v>0.46650000000000003</v>
      </c>
      <c r="E5" s="1">
        <v>294.81</v>
      </c>
      <c r="F5" s="1">
        <v>316.36</v>
      </c>
      <c r="G5" s="1">
        <v>3377.7</v>
      </c>
      <c r="H5" s="1">
        <v>301.07</v>
      </c>
      <c r="I5" s="1">
        <f>G5-H5</f>
        <v>3076.6299999999997</v>
      </c>
      <c r="J5" s="1">
        <v>333.35</v>
      </c>
      <c r="K5" s="1">
        <f>L5*2</f>
        <v>15.6374</v>
      </c>
      <c r="L5" s="1">
        <v>7.8186999999999998</v>
      </c>
      <c r="M5" s="1">
        <v>333.68</v>
      </c>
      <c r="N5" s="1">
        <v>343</v>
      </c>
      <c r="O5" s="1">
        <v>333.35</v>
      </c>
      <c r="P5" s="1"/>
      <c r="Q5" s="1"/>
      <c r="R5" s="1"/>
    </row>
    <row r="6" spans="1:18">
      <c r="A6" s="1"/>
      <c r="B6" s="1"/>
      <c r="D6" s="1">
        <v>0.54430000000000001</v>
      </c>
      <c r="E6" s="1">
        <v>294.51</v>
      </c>
      <c r="F6" s="1">
        <v>312.98</v>
      </c>
      <c r="G6" s="1">
        <v>4043.4</v>
      </c>
      <c r="H6" s="1">
        <v>353.56</v>
      </c>
      <c r="I6" s="1">
        <f t="shared" ref="I6:I63" si="0">G6-H6</f>
        <v>3689.84</v>
      </c>
      <c r="J6" s="1">
        <v>329.68</v>
      </c>
      <c r="K6" s="1">
        <f t="shared" ref="K6:K63" si="1">L6*2</f>
        <v>15.668799999999999</v>
      </c>
      <c r="L6" s="1">
        <v>7.8343999999999996</v>
      </c>
      <c r="M6" s="1">
        <v>330.01</v>
      </c>
      <c r="N6" s="1">
        <v>338.25</v>
      </c>
      <c r="O6" s="1">
        <v>329.68</v>
      </c>
      <c r="P6" s="1"/>
      <c r="Q6" s="1"/>
      <c r="R6" s="1"/>
    </row>
    <row r="7" spans="1:18">
      <c r="A7" s="1"/>
      <c r="B7" s="1"/>
      <c r="D7" s="1">
        <v>0.622</v>
      </c>
      <c r="E7" s="1">
        <v>294.3</v>
      </c>
      <c r="F7" s="1">
        <v>310.43</v>
      </c>
      <c r="G7" s="1">
        <v>4734.3</v>
      </c>
      <c r="H7" s="1">
        <v>407.2</v>
      </c>
      <c r="I7" s="1">
        <f t="shared" si="0"/>
        <v>4327.1000000000004</v>
      </c>
      <c r="J7" s="1">
        <v>326.88</v>
      </c>
      <c r="K7" s="1">
        <f t="shared" si="1"/>
        <v>15.706</v>
      </c>
      <c r="L7" s="1">
        <v>7.8529999999999998</v>
      </c>
      <c r="M7" s="1">
        <v>327.2</v>
      </c>
      <c r="N7" s="1">
        <v>334.63</v>
      </c>
      <c r="O7" s="1">
        <v>326.88</v>
      </c>
      <c r="P7" s="1"/>
      <c r="Q7" s="1"/>
      <c r="R7" s="1"/>
    </row>
    <row r="8" spans="1:18">
      <c r="A8" s="1"/>
      <c r="B8" s="1"/>
      <c r="D8" s="1">
        <v>0.69979999999999998</v>
      </c>
      <c r="E8" s="1">
        <v>294.14</v>
      </c>
      <c r="F8" s="1">
        <v>308.43</v>
      </c>
      <c r="G8" s="1">
        <v>5451.9</v>
      </c>
      <c r="H8" s="1">
        <v>462.05</v>
      </c>
      <c r="I8" s="1">
        <f t="shared" si="0"/>
        <v>4989.8499999999995</v>
      </c>
      <c r="J8" s="1">
        <v>324.64</v>
      </c>
      <c r="K8" s="1">
        <f t="shared" si="1"/>
        <v>15.7476</v>
      </c>
      <c r="L8" s="1">
        <v>7.8738000000000001</v>
      </c>
      <c r="M8" s="1">
        <v>324.97000000000003</v>
      </c>
      <c r="N8" s="1">
        <v>331.75</v>
      </c>
      <c r="O8" s="1">
        <v>324.64</v>
      </c>
      <c r="P8" s="1"/>
      <c r="Q8" s="1"/>
      <c r="R8" s="1"/>
    </row>
    <row r="9" spans="1:18">
      <c r="A9" s="1"/>
      <c r="B9" s="1"/>
      <c r="D9" s="1">
        <v>0.77749999999999997</v>
      </c>
      <c r="E9" s="1">
        <v>294.01</v>
      </c>
      <c r="F9" s="1">
        <v>306.82</v>
      </c>
      <c r="G9" s="1">
        <v>6194.7</v>
      </c>
      <c r="H9" s="1">
        <v>517.91999999999996</v>
      </c>
      <c r="I9" s="1">
        <f t="shared" si="0"/>
        <v>5676.78</v>
      </c>
      <c r="J9" s="1">
        <v>322.8</v>
      </c>
      <c r="K9" s="1">
        <f t="shared" si="1"/>
        <v>15.7872</v>
      </c>
      <c r="L9" s="1">
        <v>7.8936000000000002</v>
      </c>
      <c r="M9" s="1">
        <v>323.12</v>
      </c>
      <c r="N9" s="1">
        <v>329.39</v>
      </c>
      <c r="O9" s="1">
        <v>322.8</v>
      </c>
      <c r="P9" s="1"/>
      <c r="Q9" s="1"/>
      <c r="R9" s="1"/>
    </row>
    <row r="10" spans="1:18">
      <c r="A10" s="1"/>
      <c r="B10" s="1"/>
      <c r="D10" s="1">
        <v>0.85529999999999995</v>
      </c>
      <c r="E10" s="1">
        <v>293.92</v>
      </c>
      <c r="F10" s="1">
        <v>305.75</v>
      </c>
      <c r="G10" s="1">
        <v>6962.2</v>
      </c>
      <c r="H10" s="1">
        <v>574.41</v>
      </c>
      <c r="I10" s="1">
        <f t="shared" si="0"/>
        <v>6387.79</v>
      </c>
      <c r="J10" s="1">
        <v>321.32</v>
      </c>
      <c r="K10" s="1">
        <f t="shared" si="1"/>
        <v>15.8338</v>
      </c>
      <c r="L10" s="1">
        <v>7.9169</v>
      </c>
      <c r="M10" s="1">
        <v>321.64999999999998</v>
      </c>
      <c r="N10" s="1">
        <v>327.55</v>
      </c>
      <c r="O10" s="1">
        <v>321.32</v>
      </c>
      <c r="P10" s="1"/>
      <c r="Q10" s="1"/>
      <c r="R10" s="1"/>
    </row>
    <row r="11" spans="1:18">
      <c r="A11" s="1"/>
      <c r="B11" s="1"/>
      <c r="D11" s="1">
        <v>0.93300000000000005</v>
      </c>
      <c r="E11" s="1">
        <v>293.83999999999997</v>
      </c>
      <c r="F11" s="1">
        <v>304.66000000000003</v>
      </c>
      <c r="G11" s="1">
        <v>7756.5</v>
      </c>
      <c r="H11" s="1">
        <v>631.83000000000004</v>
      </c>
      <c r="I11" s="1">
        <f t="shared" si="0"/>
        <v>7124.67</v>
      </c>
      <c r="J11" s="1">
        <v>319.97000000000003</v>
      </c>
      <c r="K11" s="1">
        <f t="shared" si="1"/>
        <v>15.8756</v>
      </c>
      <c r="L11" s="1">
        <v>7.9378000000000002</v>
      </c>
      <c r="M11" s="1">
        <v>320.29000000000002</v>
      </c>
      <c r="N11" s="1">
        <v>325.8</v>
      </c>
      <c r="O11" s="1">
        <v>319.97000000000003</v>
      </c>
      <c r="P11" s="1"/>
      <c r="Q11" s="1"/>
      <c r="R11" s="1"/>
    </row>
    <row r="12" spans="1:18">
      <c r="A12" s="1"/>
      <c r="B12" s="1"/>
      <c r="D12" s="1">
        <v>1.0107999999999999</v>
      </c>
      <c r="E12" s="1">
        <v>293.77</v>
      </c>
      <c r="F12" s="1">
        <v>303.89</v>
      </c>
      <c r="G12" s="1">
        <v>8578.1</v>
      </c>
      <c r="H12" s="1">
        <v>689.42</v>
      </c>
      <c r="I12" s="1">
        <f t="shared" si="0"/>
        <v>7888.68</v>
      </c>
      <c r="J12" s="1">
        <v>318.82</v>
      </c>
      <c r="K12" s="1">
        <f t="shared" si="1"/>
        <v>15.9214</v>
      </c>
      <c r="L12" s="1">
        <v>7.9607000000000001</v>
      </c>
      <c r="M12" s="1">
        <v>319.14</v>
      </c>
      <c r="N12" s="1">
        <v>324.37</v>
      </c>
      <c r="O12" s="1">
        <v>318.82</v>
      </c>
      <c r="P12" s="1"/>
      <c r="Q12" s="1"/>
      <c r="R12" s="1"/>
    </row>
    <row r="13" spans="1:18">
      <c r="A13" s="1"/>
      <c r="B13" s="1"/>
      <c r="D13" s="1">
        <v>1.0885</v>
      </c>
      <c r="E13" s="1">
        <v>293.72000000000003</v>
      </c>
      <c r="F13" s="1">
        <v>303.10000000000002</v>
      </c>
      <c r="G13" s="1">
        <v>9421.6</v>
      </c>
      <c r="H13" s="1">
        <v>747.66</v>
      </c>
      <c r="I13" s="1">
        <f t="shared" si="0"/>
        <v>8673.94</v>
      </c>
      <c r="J13" s="1">
        <v>317.76</v>
      </c>
      <c r="K13" s="1">
        <f t="shared" si="1"/>
        <v>15.964399999999999</v>
      </c>
      <c r="L13" s="1">
        <v>7.9821999999999997</v>
      </c>
      <c r="M13" s="1">
        <v>318.08</v>
      </c>
      <c r="N13" s="1">
        <v>323.01</v>
      </c>
      <c r="O13" s="1">
        <v>317.76</v>
      </c>
      <c r="P13" s="1"/>
      <c r="Q13" s="1"/>
      <c r="R13" s="1"/>
    </row>
    <row r="14" spans="1:18">
      <c r="A14" s="1"/>
      <c r="B14" s="1"/>
      <c r="D14" s="1">
        <v>1.1662999999999999</v>
      </c>
      <c r="E14" s="1">
        <v>293.67</v>
      </c>
      <c r="F14" s="1">
        <v>302.52</v>
      </c>
      <c r="G14" s="1">
        <v>10295</v>
      </c>
      <c r="H14" s="1">
        <v>805.77</v>
      </c>
      <c r="I14" s="1">
        <f t="shared" si="0"/>
        <v>9489.23</v>
      </c>
      <c r="J14" s="1">
        <v>316.83</v>
      </c>
      <c r="K14" s="1">
        <f t="shared" si="1"/>
        <v>16.006599999999999</v>
      </c>
      <c r="L14" s="1">
        <v>8.0032999999999994</v>
      </c>
      <c r="M14" s="1">
        <v>317.14</v>
      </c>
      <c r="N14" s="1">
        <v>321.83</v>
      </c>
      <c r="O14" s="1">
        <v>316.83</v>
      </c>
      <c r="P14" s="1"/>
      <c r="Q14" s="1"/>
      <c r="R14" s="1"/>
    </row>
    <row r="15" spans="1:18">
      <c r="A15" s="1"/>
      <c r="B15" s="1"/>
      <c r="D15" s="1">
        <v>1.244</v>
      </c>
      <c r="E15" s="1">
        <v>293.63</v>
      </c>
      <c r="F15" s="1">
        <v>301.92</v>
      </c>
      <c r="G15" s="1">
        <v>11193</v>
      </c>
      <c r="H15" s="1">
        <v>864.36</v>
      </c>
      <c r="I15" s="1">
        <f t="shared" si="0"/>
        <v>10328.64</v>
      </c>
      <c r="J15" s="1">
        <v>315.94</v>
      </c>
      <c r="K15" s="1">
        <f t="shared" si="1"/>
        <v>16.046399999999998</v>
      </c>
      <c r="L15" s="1">
        <v>8.0231999999999992</v>
      </c>
      <c r="M15" s="1">
        <v>316.26</v>
      </c>
      <c r="N15" s="1">
        <v>320.69</v>
      </c>
      <c r="O15" s="1">
        <v>315.94</v>
      </c>
      <c r="P15" s="1"/>
      <c r="Q15" s="1"/>
      <c r="R15" s="1"/>
    </row>
    <row r="16" spans="1:1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>
      <c r="A18" t="s">
        <v>19</v>
      </c>
      <c r="B18" t="s">
        <v>20</v>
      </c>
      <c r="C18" t="s">
        <v>21</v>
      </c>
      <c r="D18" s="1">
        <v>0.3</v>
      </c>
      <c r="E18" s="1">
        <v>5</v>
      </c>
      <c r="F18" s="1">
        <v>10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>
      <c r="A19" s="1">
        <v>5</v>
      </c>
      <c r="B19" s="1">
        <v>0.1</v>
      </c>
      <c r="C19" s="1">
        <v>0.3</v>
      </c>
      <c r="D19" s="1" t="s">
        <v>0</v>
      </c>
      <c r="E19" s="1" t="s">
        <v>2</v>
      </c>
      <c r="F19" s="1" t="s">
        <v>3</v>
      </c>
      <c r="G19" s="1" t="s">
        <v>4</v>
      </c>
      <c r="H19" s="1" t="s">
        <v>5</v>
      </c>
      <c r="I19" s="1" t="s">
        <v>6</v>
      </c>
      <c r="J19" s="1" t="s">
        <v>7</v>
      </c>
      <c r="K19" s="1" t="s">
        <v>8</v>
      </c>
      <c r="L19" s="1"/>
      <c r="M19" s="1" t="s">
        <v>9</v>
      </c>
      <c r="N19" s="1" t="s">
        <v>10</v>
      </c>
      <c r="O19" s="1" t="s">
        <v>11</v>
      </c>
      <c r="P19" s="1" t="s">
        <v>12</v>
      </c>
      <c r="Q19" s="1" t="s">
        <v>13</v>
      </c>
      <c r="R19" s="1" t="s">
        <v>14</v>
      </c>
    </row>
    <row r="20" spans="1:18">
      <c r="A20" s="1"/>
      <c r="B20" s="1"/>
      <c r="D20" s="1">
        <v>0.38879999999999998</v>
      </c>
      <c r="E20" s="1">
        <v>294.81</v>
      </c>
      <c r="F20" s="1">
        <v>321.35000000000002</v>
      </c>
      <c r="G20" s="1">
        <v>2738.8</v>
      </c>
      <c r="H20" s="1">
        <v>223.38</v>
      </c>
      <c r="I20" s="1">
        <f t="shared" si="0"/>
        <v>2515.42</v>
      </c>
      <c r="J20" s="1">
        <v>330.61</v>
      </c>
      <c r="K20" s="1">
        <f t="shared" si="1"/>
        <v>16.749600000000001</v>
      </c>
      <c r="L20" s="1">
        <v>8.3748000000000005</v>
      </c>
      <c r="M20" s="1">
        <v>331.19</v>
      </c>
      <c r="N20" s="1">
        <v>341.85</v>
      </c>
      <c r="O20" s="1">
        <v>330.61</v>
      </c>
      <c r="P20" s="1"/>
      <c r="Q20" s="1"/>
      <c r="R20" s="1"/>
    </row>
    <row r="21" spans="1:18">
      <c r="A21" s="1"/>
      <c r="B21" s="1"/>
      <c r="D21" s="1">
        <v>0.46650000000000003</v>
      </c>
      <c r="E21" s="1">
        <v>294.45</v>
      </c>
      <c r="F21" s="1">
        <v>316.58999999999997</v>
      </c>
      <c r="G21" s="1">
        <v>3377.7</v>
      </c>
      <c r="H21" s="1">
        <v>262.79000000000002</v>
      </c>
      <c r="I21" s="1">
        <f t="shared" si="0"/>
        <v>3114.91</v>
      </c>
      <c r="J21" s="1">
        <v>326.05</v>
      </c>
      <c r="K21" s="1">
        <f t="shared" si="1"/>
        <v>16.767199999999999</v>
      </c>
      <c r="L21" s="1">
        <v>8.3835999999999995</v>
      </c>
      <c r="M21" s="1">
        <v>326.62</v>
      </c>
      <c r="N21" s="1">
        <v>335.59</v>
      </c>
      <c r="O21" s="1">
        <v>326.05</v>
      </c>
      <c r="P21" s="1"/>
      <c r="Q21" s="1"/>
      <c r="R21" s="1"/>
    </row>
    <row r="22" spans="1:18">
      <c r="A22" s="1"/>
      <c r="B22" s="1"/>
      <c r="D22" s="1">
        <v>0.54430000000000001</v>
      </c>
      <c r="E22" s="1">
        <v>294.2</v>
      </c>
      <c r="F22" s="1">
        <v>313.17</v>
      </c>
      <c r="G22" s="1">
        <v>4043.4</v>
      </c>
      <c r="H22" s="1">
        <v>300.74</v>
      </c>
      <c r="I22" s="1">
        <f t="shared" si="0"/>
        <v>3742.66</v>
      </c>
      <c r="J22" s="1">
        <v>322.58999999999997</v>
      </c>
      <c r="K22" s="1">
        <f t="shared" si="1"/>
        <v>16.796399999999998</v>
      </c>
      <c r="L22" s="1">
        <v>8.3981999999999992</v>
      </c>
      <c r="M22" s="1">
        <v>323.14999999999998</v>
      </c>
      <c r="N22" s="1">
        <v>330.88</v>
      </c>
      <c r="O22" s="1">
        <v>322.58999999999997</v>
      </c>
      <c r="P22" s="1"/>
      <c r="Q22" s="1"/>
      <c r="R22" s="1"/>
    </row>
    <row r="23" spans="1:18">
      <c r="A23" s="1"/>
      <c r="B23" s="1"/>
      <c r="D23" s="1">
        <v>0.622</v>
      </c>
      <c r="E23" s="1">
        <v>294.02999999999997</v>
      </c>
      <c r="F23" s="1">
        <v>310.60000000000002</v>
      </c>
      <c r="G23" s="1">
        <v>4734.3</v>
      </c>
      <c r="H23" s="1">
        <v>337.01</v>
      </c>
      <c r="I23" s="1">
        <f t="shared" si="0"/>
        <v>4397.29</v>
      </c>
      <c r="J23" s="1">
        <v>319.85000000000002</v>
      </c>
      <c r="K23" s="1">
        <f t="shared" si="1"/>
        <v>16.8324</v>
      </c>
      <c r="L23" s="1">
        <v>8.4161999999999999</v>
      </c>
      <c r="M23" s="1">
        <v>320.39999999999998</v>
      </c>
      <c r="N23" s="1">
        <v>327.18</v>
      </c>
      <c r="O23" s="1">
        <v>319.85000000000002</v>
      </c>
      <c r="P23" s="1"/>
      <c r="Q23" s="1"/>
      <c r="R23" s="1"/>
    </row>
    <row r="24" spans="1:18">
      <c r="A24" s="1"/>
      <c r="B24" s="1"/>
      <c r="D24" s="1">
        <v>0.69979999999999998</v>
      </c>
      <c r="E24" s="1">
        <v>293.89999999999998</v>
      </c>
      <c r="F24" s="1">
        <v>308.58999999999997</v>
      </c>
      <c r="G24" s="1">
        <v>5451.9</v>
      </c>
      <c r="H24" s="1">
        <v>371.61</v>
      </c>
      <c r="I24" s="1">
        <f t="shared" si="0"/>
        <v>5080.29</v>
      </c>
      <c r="J24" s="1">
        <v>317.62</v>
      </c>
      <c r="K24" s="1">
        <f t="shared" si="1"/>
        <v>16.872800000000002</v>
      </c>
      <c r="L24" s="1">
        <v>8.4364000000000008</v>
      </c>
      <c r="M24" s="1">
        <v>318.16000000000003</v>
      </c>
      <c r="N24" s="1">
        <v>324.18</v>
      </c>
      <c r="O24" s="1">
        <v>317.62</v>
      </c>
      <c r="P24" s="1"/>
      <c r="Q24" s="1"/>
      <c r="R24" s="1"/>
    </row>
    <row r="25" spans="1:18">
      <c r="A25" s="1"/>
      <c r="B25" s="1"/>
      <c r="D25" s="1">
        <v>0.77749999999999997</v>
      </c>
      <c r="E25" s="1">
        <v>293.8</v>
      </c>
      <c r="F25" s="1">
        <v>306.97000000000003</v>
      </c>
      <c r="G25" s="1">
        <v>6194.7</v>
      </c>
      <c r="H25" s="1">
        <v>404.42</v>
      </c>
      <c r="I25" s="1">
        <f t="shared" si="0"/>
        <v>5790.28</v>
      </c>
      <c r="J25" s="1">
        <v>315.76</v>
      </c>
      <c r="K25" s="1">
        <f t="shared" si="1"/>
        <v>16.9178</v>
      </c>
      <c r="L25" s="1">
        <v>8.4588999999999999</v>
      </c>
      <c r="M25" s="1">
        <v>316.29000000000002</v>
      </c>
      <c r="N25" s="1">
        <v>321.68</v>
      </c>
      <c r="O25" s="1">
        <v>315.76</v>
      </c>
      <c r="P25" s="1"/>
      <c r="Q25" s="1"/>
      <c r="R25" s="1"/>
    </row>
    <row r="26" spans="1:18">
      <c r="A26" s="1"/>
      <c r="B26" s="1"/>
      <c r="D26" s="1">
        <v>0.85529999999999995</v>
      </c>
      <c r="E26" s="1">
        <v>293.72000000000003</v>
      </c>
      <c r="F26" s="1">
        <v>305.91000000000003</v>
      </c>
      <c r="G26" s="1">
        <v>6962.2</v>
      </c>
      <c r="H26" s="1">
        <v>435.1</v>
      </c>
      <c r="I26" s="1">
        <f t="shared" si="0"/>
        <v>6527.0999999999995</v>
      </c>
      <c r="J26" s="1">
        <v>314.25</v>
      </c>
      <c r="K26" s="1">
        <f t="shared" si="1"/>
        <v>16.962800000000001</v>
      </c>
      <c r="L26" s="1">
        <v>8.4814000000000007</v>
      </c>
      <c r="M26" s="1">
        <v>314.77999999999997</v>
      </c>
      <c r="N26" s="1">
        <v>319.76</v>
      </c>
      <c r="O26" s="1">
        <v>314.25</v>
      </c>
      <c r="P26" s="1"/>
      <c r="Q26" s="1"/>
      <c r="R26" s="1"/>
    </row>
    <row r="27" spans="1:18">
      <c r="A27" s="1"/>
      <c r="B27" s="1"/>
      <c r="D27" s="1">
        <v>0.93300000000000005</v>
      </c>
      <c r="E27" s="1">
        <v>293.66000000000003</v>
      </c>
      <c r="F27" s="1">
        <v>304.81</v>
      </c>
      <c r="G27" s="1">
        <v>7756.5</v>
      </c>
      <c r="H27" s="1">
        <v>464.13</v>
      </c>
      <c r="I27" s="1">
        <f t="shared" si="0"/>
        <v>7292.37</v>
      </c>
      <c r="J27" s="1">
        <v>312.91000000000003</v>
      </c>
      <c r="K27" s="1">
        <f t="shared" si="1"/>
        <v>17.0016</v>
      </c>
      <c r="L27" s="1">
        <v>8.5007999999999999</v>
      </c>
      <c r="M27" s="1">
        <v>313.42</v>
      </c>
      <c r="N27" s="1">
        <v>317.99</v>
      </c>
      <c r="O27" s="1">
        <v>312.91000000000003</v>
      </c>
      <c r="P27" s="1"/>
      <c r="Q27" s="1"/>
      <c r="R27" s="1"/>
    </row>
    <row r="28" spans="1:18">
      <c r="A28" s="1"/>
      <c r="B28" s="1"/>
      <c r="D28" s="1">
        <v>1.0107999999999999</v>
      </c>
      <c r="E28" s="1">
        <v>293.61</v>
      </c>
      <c r="F28" s="1">
        <v>303.87</v>
      </c>
      <c r="G28" s="1">
        <v>8578.1</v>
      </c>
      <c r="H28" s="1">
        <v>491.26</v>
      </c>
      <c r="I28" s="1">
        <f t="shared" si="0"/>
        <v>8086.84</v>
      </c>
      <c r="J28" s="1">
        <v>311.73</v>
      </c>
      <c r="K28" s="1">
        <f t="shared" si="1"/>
        <v>17.035399999999999</v>
      </c>
      <c r="L28" s="1">
        <v>8.5176999999999996</v>
      </c>
      <c r="M28" s="1">
        <v>312.24</v>
      </c>
      <c r="N28" s="1">
        <v>316.44</v>
      </c>
      <c r="O28" s="1">
        <v>311.73</v>
      </c>
      <c r="P28" s="1"/>
      <c r="Q28" s="1"/>
      <c r="R28" s="1"/>
    </row>
    <row r="29" spans="1:18">
      <c r="A29" s="1"/>
      <c r="B29" s="1"/>
      <c r="D29" s="1">
        <v>1.0885</v>
      </c>
      <c r="E29" s="1">
        <v>293.56</v>
      </c>
      <c r="F29" s="1">
        <v>303.24</v>
      </c>
      <c r="G29" s="1">
        <v>9421.6</v>
      </c>
      <c r="H29" s="1">
        <v>515.85</v>
      </c>
      <c r="I29" s="1">
        <f t="shared" si="0"/>
        <v>8905.75</v>
      </c>
      <c r="J29" s="1">
        <v>310.73</v>
      </c>
      <c r="K29" s="1">
        <f t="shared" si="1"/>
        <v>17.069400000000002</v>
      </c>
      <c r="L29" s="1">
        <v>8.5347000000000008</v>
      </c>
      <c r="M29" s="1">
        <v>311.24</v>
      </c>
      <c r="N29" s="1">
        <v>315.19</v>
      </c>
      <c r="O29" s="1">
        <v>310.73</v>
      </c>
      <c r="P29" s="1"/>
      <c r="Q29" s="1"/>
      <c r="R29" s="1"/>
    </row>
    <row r="30" spans="1:18">
      <c r="A30" s="1"/>
      <c r="B30" s="1"/>
      <c r="D30" s="1">
        <v>1.1662999999999999</v>
      </c>
      <c r="E30" s="1">
        <v>293.52999999999997</v>
      </c>
      <c r="F30" s="1">
        <v>302.54000000000002</v>
      </c>
      <c r="G30" s="1">
        <v>10295</v>
      </c>
      <c r="H30" s="1">
        <v>538.79</v>
      </c>
      <c r="I30" s="1">
        <f t="shared" si="0"/>
        <v>9756.2099999999991</v>
      </c>
      <c r="J30" s="1">
        <v>309.82</v>
      </c>
      <c r="K30" s="1">
        <f t="shared" si="1"/>
        <v>17.101199999999999</v>
      </c>
      <c r="L30" s="1">
        <v>8.5505999999999993</v>
      </c>
      <c r="M30" s="1">
        <v>310.32</v>
      </c>
      <c r="N30" s="1">
        <v>314.02</v>
      </c>
      <c r="O30" s="1">
        <v>309.82</v>
      </c>
      <c r="P30" s="1"/>
      <c r="Q30" s="1"/>
      <c r="R30" s="1"/>
    </row>
    <row r="31" spans="1:18">
      <c r="A31" s="1"/>
      <c r="B31" s="1"/>
      <c r="D31" s="1">
        <v>1.244</v>
      </c>
      <c r="E31" s="1">
        <v>293.49</v>
      </c>
      <c r="F31" s="1">
        <v>301.94</v>
      </c>
      <c r="G31" s="1">
        <v>11193</v>
      </c>
      <c r="H31" s="1">
        <v>559.58000000000004</v>
      </c>
      <c r="I31" s="1">
        <f t="shared" si="0"/>
        <v>10633.42</v>
      </c>
      <c r="J31" s="1">
        <v>309.01</v>
      </c>
      <c r="K31" s="1">
        <f t="shared" si="1"/>
        <v>17.1264</v>
      </c>
      <c r="L31" s="1">
        <v>8.5632000000000001</v>
      </c>
      <c r="M31" s="1">
        <v>309.51</v>
      </c>
      <c r="N31" s="1">
        <v>312.97000000000003</v>
      </c>
      <c r="O31" s="1">
        <v>309.01</v>
      </c>
      <c r="P31" s="1"/>
      <c r="Q31" s="1"/>
      <c r="R31" s="1"/>
    </row>
    <row r="32" spans="1:1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>
      <c r="A34" t="s">
        <v>19</v>
      </c>
      <c r="B34" t="s">
        <v>20</v>
      </c>
      <c r="C34" t="s">
        <v>21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8">
      <c r="A35" s="1">
        <v>5</v>
      </c>
      <c r="B35" s="1">
        <v>0.15</v>
      </c>
      <c r="C35" s="1">
        <v>0.3</v>
      </c>
      <c r="D35" s="1" t="s">
        <v>0</v>
      </c>
      <c r="E35" s="1" t="s">
        <v>2</v>
      </c>
      <c r="F35" s="1" t="s">
        <v>3</v>
      </c>
      <c r="G35" s="1" t="s">
        <v>4</v>
      </c>
      <c r="H35" s="1" t="s">
        <v>5</v>
      </c>
      <c r="I35" s="1" t="s">
        <v>6</v>
      </c>
      <c r="J35" s="1" t="s">
        <v>7</v>
      </c>
      <c r="K35" s="1" t="s">
        <v>8</v>
      </c>
      <c r="L35" s="1"/>
      <c r="M35" s="1" t="s">
        <v>9</v>
      </c>
      <c r="N35" s="1" t="s">
        <v>10</v>
      </c>
      <c r="O35" s="1" t="s">
        <v>11</v>
      </c>
      <c r="P35" s="1" t="s">
        <v>13</v>
      </c>
      <c r="Q35" s="1" t="s">
        <v>14</v>
      </c>
    </row>
    <row r="36" spans="1:18">
      <c r="B36" s="1"/>
      <c r="D36" s="1">
        <v>0.38879999999999998</v>
      </c>
      <c r="E36" s="1">
        <v>295.10000000000002</v>
      </c>
      <c r="F36" s="1">
        <v>321.2</v>
      </c>
      <c r="G36" s="1">
        <v>2975.4</v>
      </c>
      <c r="H36" s="1">
        <v>151.36000000000001</v>
      </c>
      <c r="I36" s="1">
        <f t="shared" ref="I36:I47" si="2">G36-H36</f>
        <v>2824.04</v>
      </c>
      <c r="J36" s="1">
        <v>334.64</v>
      </c>
      <c r="K36" s="1">
        <f t="shared" ref="K36:K47" si="3">L36*2</f>
        <v>17.799399999999999</v>
      </c>
      <c r="L36" s="1">
        <v>8.8996999999999993</v>
      </c>
      <c r="M36" s="1">
        <v>335.1</v>
      </c>
      <c r="N36" s="1">
        <v>344.82</v>
      </c>
      <c r="O36" s="1">
        <v>334.64</v>
      </c>
      <c r="P36" s="1"/>
      <c r="Q36" s="1"/>
    </row>
    <row r="37" spans="1:18">
      <c r="B37" s="1"/>
      <c r="D37" s="1">
        <v>0.46650000000000003</v>
      </c>
      <c r="E37" s="1">
        <v>294.64999999999998</v>
      </c>
      <c r="F37" s="1">
        <v>316.41000000000003</v>
      </c>
      <c r="G37" s="1">
        <v>3714.8</v>
      </c>
      <c r="H37" s="1">
        <v>156.38999999999999</v>
      </c>
      <c r="I37" s="1">
        <f t="shared" si="2"/>
        <v>3558.4100000000003</v>
      </c>
      <c r="J37" s="1">
        <v>328.44</v>
      </c>
      <c r="K37" s="1">
        <f t="shared" si="3"/>
        <v>17.950600000000001</v>
      </c>
      <c r="L37" s="1">
        <v>8.9753000000000007</v>
      </c>
      <c r="M37" s="1">
        <v>328.88</v>
      </c>
      <c r="N37" s="1">
        <v>336.67</v>
      </c>
      <c r="O37" s="1">
        <v>328.44</v>
      </c>
      <c r="P37" s="1"/>
      <c r="Q37" s="1"/>
    </row>
    <row r="38" spans="1:18">
      <c r="B38" s="1"/>
      <c r="D38" s="1">
        <v>0.54430000000000001</v>
      </c>
      <c r="E38" s="1">
        <v>294.35000000000002</v>
      </c>
      <c r="F38" s="1">
        <v>312.89999999999998</v>
      </c>
      <c r="G38" s="1">
        <v>4511.2</v>
      </c>
      <c r="H38" s="1">
        <v>155.55000000000001</v>
      </c>
      <c r="I38" s="1">
        <f t="shared" si="2"/>
        <v>4355.6499999999996</v>
      </c>
      <c r="J38" s="1">
        <v>323.7</v>
      </c>
      <c r="K38" s="1">
        <f t="shared" si="3"/>
        <v>18.0838</v>
      </c>
      <c r="L38" s="1">
        <v>9.0419</v>
      </c>
      <c r="M38" s="1">
        <v>324.12</v>
      </c>
      <c r="N38" s="1">
        <v>330.52</v>
      </c>
      <c r="O38" s="1">
        <v>323.7</v>
      </c>
      <c r="P38" s="1"/>
      <c r="Q38" s="1"/>
    </row>
    <row r="39" spans="1:18">
      <c r="B39" s="1"/>
      <c r="D39" s="1">
        <v>0.622</v>
      </c>
      <c r="E39" s="1">
        <v>294.14</v>
      </c>
      <c r="F39" s="1">
        <v>310.58999999999997</v>
      </c>
      <c r="G39" s="1">
        <v>5367</v>
      </c>
      <c r="H39" s="1">
        <v>150.44</v>
      </c>
      <c r="I39" s="1">
        <f t="shared" si="2"/>
        <v>5216.5600000000004</v>
      </c>
      <c r="J39" s="1">
        <v>320.16000000000003</v>
      </c>
      <c r="K39" s="1">
        <f t="shared" si="3"/>
        <v>18.202400000000001</v>
      </c>
      <c r="L39" s="1">
        <v>9.1012000000000004</v>
      </c>
      <c r="M39" s="1">
        <v>320.57</v>
      </c>
      <c r="N39" s="1">
        <v>326.08999999999997</v>
      </c>
      <c r="O39" s="1">
        <v>320.16000000000003</v>
      </c>
      <c r="P39" s="1"/>
      <c r="Q39" s="1"/>
    </row>
    <row r="40" spans="1:18">
      <c r="B40" s="1"/>
      <c r="D40" s="1">
        <v>0.69979999999999998</v>
      </c>
      <c r="E40" s="1">
        <v>293.98</v>
      </c>
      <c r="F40" s="1">
        <v>308.89</v>
      </c>
      <c r="G40" s="1">
        <v>6288.3</v>
      </c>
      <c r="H40" s="1">
        <v>143.11000000000001</v>
      </c>
      <c r="I40" s="1">
        <f t="shared" si="2"/>
        <v>6145.1900000000005</v>
      </c>
      <c r="J40" s="1">
        <v>317.44</v>
      </c>
      <c r="K40" s="1">
        <f t="shared" si="3"/>
        <v>18.298999999999999</v>
      </c>
      <c r="L40" s="1">
        <v>9.1494999999999997</v>
      </c>
      <c r="M40" s="1">
        <v>317.85000000000002</v>
      </c>
      <c r="N40" s="1">
        <v>322.79000000000002</v>
      </c>
      <c r="O40" s="1">
        <v>317.44</v>
      </c>
      <c r="P40" s="1"/>
      <c r="Q40" s="1"/>
    </row>
    <row r="41" spans="1:18">
      <c r="B41" s="1"/>
      <c r="D41" s="1">
        <v>0.77749999999999997</v>
      </c>
      <c r="E41" s="1">
        <v>293.86</v>
      </c>
      <c r="F41" s="1">
        <v>307.33</v>
      </c>
      <c r="G41" s="1">
        <v>7272.7</v>
      </c>
      <c r="H41" s="1">
        <v>134.47999999999999</v>
      </c>
      <c r="I41" s="1">
        <f t="shared" si="2"/>
        <v>7138.22</v>
      </c>
      <c r="J41" s="1">
        <v>315.26</v>
      </c>
      <c r="K41" s="1">
        <f t="shared" si="3"/>
        <v>18.367000000000001</v>
      </c>
      <c r="L41" s="1">
        <v>9.1835000000000004</v>
      </c>
      <c r="M41" s="1">
        <v>315.66000000000003</v>
      </c>
      <c r="N41" s="1">
        <v>320.12</v>
      </c>
      <c r="O41" s="1">
        <v>315.26</v>
      </c>
      <c r="P41" s="1"/>
      <c r="Q41" s="1"/>
    </row>
    <row r="42" spans="1:18">
      <c r="B42" s="1"/>
      <c r="D42" s="1">
        <v>0.85529999999999995</v>
      </c>
      <c r="E42" s="1">
        <v>293.77</v>
      </c>
      <c r="F42" s="1">
        <v>306.06</v>
      </c>
      <c r="G42" s="1">
        <v>8317.9</v>
      </c>
      <c r="H42" s="1">
        <v>124.36</v>
      </c>
      <c r="I42" s="1">
        <f t="shared" si="2"/>
        <v>8193.5399999999991</v>
      </c>
      <c r="J42" s="1">
        <v>313.52</v>
      </c>
      <c r="K42" s="1">
        <f t="shared" si="3"/>
        <v>18.418600000000001</v>
      </c>
      <c r="L42" s="1">
        <v>9.2093000000000007</v>
      </c>
      <c r="M42" s="1">
        <v>313.92</v>
      </c>
      <c r="N42" s="1">
        <v>318.05</v>
      </c>
      <c r="O42" s="1">
        <v>313.52</v>
      </c>
      <c r="P42" s="1"/>
      <c r="Q42" s="1"/>
    </row>
    <row r="43" spans="1:18">
      <c r="B43" s="1"/>
      <c r="D43" s="1">
        <v>0.93300000000000005</v>
      </c>
      <c r="E43" s="1">
        <v>293.7</v>
      </c>
      <c r="F43" s="1">
        <v>304.97000000000003</v>
      </c>
      <c r="G43" s="1">
        <v>9413.9</v>
      </c>
      <c r="H43" s="1">
        <v>110.08</v>
      </c>
      <c r="I43" s="1">
        <f t="shared" si="2"/>
        <v>9303.82</v>
      </c>
      <c r="J43" s="1">
        <v>312.13</v>
      </c>
      <c r="K43" s="1">
        <f t="shared" si="3"/>
        <v>18.458200000000001</v>
      </c>
      <c r="L43" s="1">
        <v>9.2291000000000007</v>
      </c>
      <c r="M43" s="1">
        <v>312.52999999999997</v>
      </c>
      <c r="N43" s="1">
        <v>316.39</v>
      </c>
      <c r="O43" s="1">
        <v>312.13</v>
      </c>
      <c r="P43" s="1"/>
      <c r="Q43" s="1"/>
    </row>
    <row r="44" spans="1:18">
      <c r="B44" s="1"/>
      <c r="D44" s="1">
        <v>1.0107999999999999</v>
      </c>
      <c r="E44" s="1">
        <v>293.64</v>
      </c>
      <c r="F44" s="1">
        <v>304.08999999999997</v>
      </c>
      <c r="G44" s="1">
        <v>10556</v>
      </c>
      <c r="H44" s="1">
        <v>89.302999999999997</v>
      </c>
      <c r="I44" s="1">
        <f t="shared" si="2"/>
        <v>10466.697</v>
      </c>
      <c r="J44" s="1">
        <v>311</v>
      </c>
      <c r="K44" s="1">
        <f t="shared" si="3"/>
        <v>18.491</v>
      </c>
      <c r="L44" s="1">
        <v>9.2454999999999998</v>
      </c>
      <c r="M44" s="1">
        <v>311.39999999999998</v>
      </c>
      <c r="N44" s="1">
        <v>315.07</v>
      </c>
      <c r="O44" s="1">
        <v>311</v>
      </c>
      <c r="P44" s="1"/>
      <c r="Q44" s="1"/>
    </row>
    <row r="45" spans="1:18">
      <c r="B45" s="1"/>
      <c r="D45" s="1">
        <v>1.0885</v>
      </c>
      <c r="E45" s="1">
        <v>293.58999999999997</v>
      </c>
      <c r="F45" s="1">
        <v>303.29000000000002</v>
      </c>
      <c r="G45" s="1">
        <v>11735</v>
      </c>
      <c r="H45" s="1">
        <v>61.018999999999998</v>
      </c>
      <c r="I45" s="1">
        <f t="shared" si="2"/>
        <v>11673.981</v>
      </c>
      <c r="J45" s="1">
        <v>310.05</v>
      </c>
      <c r="K45" s="1">
        <f t="shared" si="3"/>
        <v>18.518799999999999</v>
      </c>
      <c r="L45" s="1">
        <v>9.2593999999999994</v>
      </c>
      <c r="M45" s="1">
        <v>310.45</v>
      </c>
      <c r="N45" s="1">
        <v>313.93</v>
      </c>
      <c r="O45" s="1">
        <v>310.05</v>
      </c>
      <c r="P45" s="1"/>
      <c r="Q45" s="1"/>
    </row>
    <row r="46" spans="1:18">
      <c r="B46" s="1"/>
      <c r="D46" s="1">
        <v>1.1662999999999999</v>
      </c>
      <c r="E46" s="1">
        <v>293.55</v>
      </c>
      <c r="F46" s="1">
        <v>302.70999999999998</v>
      </c>
      <c r="G46" s="1">
        <v>12958</v>
      </c>
      <c r="H46" s="1">
        <v>27.131</v>
      </c>
      <c r="I46" s="1">
        <f t="shared" si="2"/>
        <v>12930.869000000001</v>
      </c>
      <c r="J46" s="1">
        <v>309.27999999999997</v>
      </c>
      <c r="K46" s="1">
        <f t="shared" si="3"/>
        <v>18.548999999999999</v>
      </c>
      <c r="L46" s="1">
        <v>9.2744999999999997</v>
      </c>
      <c r="M46" s="1">
        <v>309.67</v>
      </c>
      <c r="N46" s="1">
        <v>313.05</v>
      </c>
      <c r="O46" s="1">
        <v>309.27999999999997</v>
      </c>
      <c r="P46" s="1"/>
      <c r="Q46" s="1"/>
    </row>
    <row r="47" spans="1:18">
      <c r="B47" s="1"/>
      <c r="D47" s="1">
        <v>1.244</v>
      </c>
      <c r="E47" s="1">
        <v>293.51</v>
      </c>
      <c r="F47" s="1">
        <v>302.05</v>
      </c>
      <c r="G47" s="1">
        <v>14227</v>
      </c>
      <c r="H47" s="1">
        <v>-12.509</v>
      </c>
      <c r="I47" s="1">
        <f t="shared" si="2"/>
        <v>14239.509</v>
      </c>
      <c r="J47" s="1">
        <v>308.55</v>
      </c>
      <c r="K47" s="1">
        <f t="shared" si="3"/>
        <v>18.5748</v>
      </c>
      <c r="L47" s="1">
        <v>9.2873999999999999</v>
      </c>
      <c r="M47" s="1">
        <v>308.94</v>
      </c>
      <c r="N47" s="1">
        <v>312.12</v>
      </c>
      <c r="O47" s="1">
        <v>308.55</v>
      </c>
      <c r="P47" s="1"/>
      <c r="Q47" s="1"/>
    </row>
    <row r="48" spans="1:1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>
      <c r="A51" t="s">
        <v>19</v>
      </c>
      <c r="B51" t="s">
        <v>20</v>
      </c>
      <c r="C51" t="s">
        <v>21</v>
      </c>
      <c r="D51" s="1" t="s">
        <v>0</v>
      </c>
      <c r="E51" s="1" t="s">
        <v>2</v>
      </c>
      <c r="F51" s="1" t="s">
        <v>3</v>
      </c>
      <c r="G51" s="1" t="s">
        <v>4</v>
      </c>
      <c r="H51" s="1" t="s">
        <v>5</v>
      </c>
      <c r="I51" s="1" t="s">
        <v>6</v>
      </c>
      <c r="J51" s="1" t="s">
        <v>7</v>
      </c>
      <c r="K51" s="1" t="s">
        <v>8</v>
      </c>
      <c r="L51" s="1"/>
      <c r="M51" s="1" t="s">
        <v>9</v>
      </c>
      <c r="N51" s="1" t="s">
        <v>10</v>
      </c>
      <c r="O51" s="1" t="s">
        <v>11</v>
      </c>
      <c r="P51" s="1" t="s">
        <v>12</v>
      </c>
      <c r="Q51" s="1" t="s">
        <v>13</v>
      </c>
      <c r="R51" s="1" t="s">
        <v>14</v>
      </c>
    </row>
    <row r="52" spans="1:18">
      <c r="A52" s="1">
        <v>5</v>
      </c>
      <c r="B52" s="1">
        <v>0.2</v>
      </c>
      <c r="C52" s="1">
        <v>0.3</v>
      </c>
      <c r="D52" s="1">
        <v>0.38879999999999998</v>
      </c>
      <c r="E52" s="1">
        <v>294.62</v>
      </c>
      <c r="F52" s="1">
        <v>321.3</v>
      </c>
      <c r="G52" s="1">
        <v>3709.1</v>
      </c>
      <c r="H52" s="1">
        <v>169.35</v>
      </c>
      <c r="I52" s="1">
        <f t="shared" si="0"/>
        <v>3539.75</v>
      </c>
      <c r="J52" s="1">
        <v>325.23</v>
      </c>
      <c r="K52" s="1">
        <f t="shared" si="1"/>
        <v>18.440799999999999</v>
      </c>
      <c r="L52" s="1">
        <v>9.2203999999999997</v>
      </c>
      <c r="M52" s="1">
        <v>325.82</v>
      </c>
      <c r="N52" s="1">
        <v>335.74</v>
      </c>
      <c r="O52" s="1">
        <v>325.23</v>
      </c>
      <c r="P52" s="1"/>
      <c r="Q52" s="1"/>
      <c r="R52" s="1"/>
    </row>
    <row r="53" spans="1:18">
      <c r="A53" s="1"/>
      <c r="B53" s="1"/>
      <c r="D53" s="1">
        <v>0.46650000000000003</v>
      </c>
      <c r="E53" s="1">
        <v>294.29000000000002</v>
      </c>
      <c r="F53" s="1">
        <v>316.45</v>
      </c>
      <c r="G53" s="1">
        <v>4668.5</v>
      </c>
      <c r="H53" s="1">
        <v>184.83</v>
      </c>
      <c r="I53" s="1">
        <f t="shared" si="0"/>
        <v>4483.67</v>
      </c>
      <c r="J53" s="1">
        <v>320.58999999999997</v>
      </c>
      <c r="K53" s="1">
        <f t="shared" si="1"/>
        <v>18.536999999999999</v>
      </c>
      <c r="L53" s="1">
        <v>9.2684999999999995</v>
      </c>
      <c r="M53" s="1">
        <v>321.16000000000003</v>
      </c>
      <c r="N53" s="1">
        <v>329.36</v>
      </c>
      <c r="O53" s="1">
        <v>320.58999999999997</v>
      </c>
      <c r="P53" s="1"/>
      <c r="Q53" s="1"/>
      <c r="R53" s="1"/>
    </row>
    <row r="54" spans="1:18">
      <c r="A54" s="1"/>
      <c r="B54" s="1"/>
      <c r="D54" s="1">
        <v>0.54430000000000001</v>
      </c>
      <c r="E54" s="1">
        <v>294.07</v>
      </c>
      <c r="F54" s="1">
        <v>313.31</v>
      </c>
      <c r="G54" s="1">
        <v>5697.7</v>
      </c>
      <c r="H54" s="1">
        <v>195.05</v>
      </c>
      <c r="I54" s="1">
        <f t="shared" si="0"/>
        <v>5502.65</v>
      </c>
      <c r="J54" s="1">
        <v>317.27</v>
      </c>
      <c r="K54" s="1">
        <f t="shared" si="1"/>
        <v>18.6266</v>
      </c>
      <c r="L54" s="1">
        <v>9.3132999999999999</v>
      </c>
      <c r="M54" s="1">
        <v>317.82</v>
      </c>
      <c r="N54" s="1">
        <v>324.95999999999998</v>
      </c>
      <c r="O54" s="1">
        <v>317.27</v>
      </c>
      <c r="P54" s="1"/>
      <c r="Q54" s="1"/>
      <c r="R54" s="1"/>
    </row>
    <row r="55" spans="1:18">
      <c r="A55" s="1"/>
      <c r="B55" s="1"/>
      <c r="D55" s="1">
        <v>0.622</v>
      </c>
      <c r="E55" s="1">
        <v>293.91000000000003</v>
      </c>
      <c r="F55" s="1">
        <v>310.69</v>
      </c>
      <c r="G55" s="1">
        <v>6795.9</v>
      </c>
      <c r="H55" s="1">
        <v>200.29</v>
      </c>
      <c r="I55" s="1">
        <f t="shared" si="0"/>
        <v>6595.61</v>
      </c>
      <c r="J55" s="1">
        <v>314.64999999999998</v>
      </c>
      <c r="K55" s="1">
        <f t="shared" si="1"/>
        <v>18.688400000000001</v>
      </c>
      <c r="L55" s="1">
        <v>9.3442000000000007</v>
      </c>
      <c r="M55" s="1">
        <v>315.18</v>
      </c>
      <c r="N55" s="1">
        <v>321.41000000000003</v>
      </c>
      <c r="O55" s="1">
        <v>314.64999999999998</v>
      </c>
      <c r="P55" s="1"/>
      <c r="Q55" s="1"/>
      <c r="R55" s="1"/>
    </row>
    <row r="56" spans="1:18">
      <c r="A56" s="1"/>
      <c r="B56" s="1"/>
      <c r="D56" s="1">
        <v>0.69979999999999998</v>
      </c>
      <c r="E56" s="1">
        <v>293.79000000000002</v>
      </c>
      <c r="F56" s="1">
        <v>308.60000000000002</v>
      </c>
      <c r="G56" s="1">
        <v>7965.8</v>
      </c>
      <c r="H56" s="1">
        <v>200.4</v>
      </c>
      <c r="I56" s="1">
        <f t="shared" si="0"/>
        <v>7765.4000000000005</v>
      </c>
      <c r="J56" s="1">
        <v>312.58999999999997</v>
      </c>
      <c r="K56" s="1">
        <f t="shared" si="1"/>
        <v>18.747199999999999</v>
      </c>
      <c r="L56" s="1">
        <v>9.3735999999999997</v>
      </c>
      <c r="M56" s="1">
        <v>313.11</v>
      </c>
      <c r="N56" s="1">
        <v>318.64</v>
      </c>
      <c r="O56" s="1">
        <v>312.58999999999997</v>
      </c>
      <c r="P56" s="1"/>
      <c r="Q56" s="1"/>
      <c r="R56" s="1"/>
    </row>
    <row r="57" spans="1:18">
      <c r="A57" s="1"/>
      <c r="B57" s="1"/>
      <c r="D57" s="1">
        <v>0.77749999999999997</v>
      </c>
      <c r="E57" s="1">
        <v>293.70999999999998</v>
      </c>
      <c r="F57" s="1">
        <v>307.22000000000003</v>
      </c>
      <c r="G57" s="1">
        <v>9201.4</v>
      </c>
      <c r="H57" s="1">
        <v>195</v>
      </c>
      <c r="I57" s="1">
        <f t="shared" si="0"/>
        <v>9006.4</v>
      </c>
      <c r="J57" s="1">
        <v>311.02</v>
      </c>
      <c r="K57" s="1">
        <f t="shared" si="1"/>
        <v>18.801200000000001</v>
      </c>
      <c r="L57" s="1">
        <v>9.4006000000000007</v>
      </c>
      <c r="M57" s="1">
        <v>311.54000000000002</v>
      </c>
      <c r="N57" s="1">
        <v>316.64</v>
      </c>
      <c r="O57" s="1">
        <v>311.02</v>
      </c>
      <c r="P57" s="1"/>
      <c r="Q57" s="1"/>
      <c r="R57" s="1"/>
    </row>
    <row r="58" spans="1:18">
      <c r="A58" s="1"/>
      <c r="B58" s="1"/>
      <c r="D58" s="1">
        <v>0.85529999999999995</v>
      </c>
      <c r="E58" s="1">
        <v>293.64</v>
      </c>
      <c r="F58" s="1">
        <v>305.92</v>
      </c>
      <c r="G58" s="1">
        <v>10506</v>
      </c>
      <c r="H58" s="1">
        <v>184.02</v>
      </c>
      <c r="I58" s="1">
        <f t="shared" si="0"/>
        <v>10321.98</v>
      </c>
      <c r="J58" s="1">
        <v>309.7</v>
      </c>
      <c r="K58" s="1">
        <f t="shared" si="1"/>
        <v>18.8462</v>
      </c>
      <c r="L58" s="1">
        <v>9.4230999999999998</v>
      </c>
      <c r="M58" s="1">
        <v>310.20999999999998</v>
      </c>
      <c r="N58" s="1">
        <v>314.89</v>
      </c>
      <c r="O58" s="1">
        <v>309.7</v>
      </c>
      <c r="P58" s="1"/>
      <c r="Q58" s="1"/>
      <c r="R58" s="1"/>
    </row>
    <row r="59" spans="1:18">
      <c r="A59" s="1"/>
      <c r="B59" s="1"/>
      <c r="D59" s="1">
        <v>0.93300000000000005</v>
      </c>
      <c r="E59" s="1">
        <v>293.58</v>
      </c>
      <c r="F59" s="1">
        <v>304.95999999999998</v>
      </c>
      <c r="G59" s="1">
        <v>11873</v>
      </c>
      <c r="H59" s="1">
        <v>166.86</v>
      </c>
      <c r="I59" s="1">
        <f t="shared" si="0"/>
        <v>11706.14</v>
      </c>
      <c r="J59" s="1">
        <v>308.62</v>
      </c>
      <c r="K59" s="1">
        <f t="shared" si="1"/>
        <v>18.880800000000001</v>
      </c>
      <c r="L59" s="1">
        <v>9.4404000000000003</v>
      </c>
      <c r="M59" s="1">
        <v>309.13</v>
      </c>
      <c r="N59" s="1">
        <v>313.51</v>
      </c>
      <c r="O59" s="1">
        <v>308.62</v>
      </c>
      <c r="P59" s="1"/>
      <c r="Q59" s="1"/>
      <c r="R59" s="1"/>
    </row>
    <row r="60" spans="1:18">
      <c r="A60" s="1"/>
      <c r="B60" s="1"/>
      <c r="D60" s="1">
        <v>1.0107999999999999</v>
      </c>
      <c r="E60" s="1">
        <v>293.54000000000002</v>
      </c>
      <c r="F60" s="1">
        <v>304.05</v>
      </c>
      <c r="G60" s="1">
        <v>13306</v>
      </c>
      <c r="H60" s="1">
        <v>143.47999999999999</v>
      </c>
      <c r="I60" s="1">
        <f t="shared" si="0"/>
        <v>13162.52</v>
      </c>
      <c r="J60" s="1">
        <v>307.68</v>
      </c>
      <c r="K60" s="1">
        <f t="shared" si="1"/>
        <v>18.908999999999999</v>
      </c>
      <c r="L60" s="1">
        <v>9.4544999999999995</v>
      </c>
      <c r="M60" s="1">
        <v>308.19</v>
      </c>
      <c r="N60" s="1">
        <v>312.27999999999997</v>
      </c>
      <c r="O60" s="1">
        <v>307.68</v>
      </c>
      <c r="P60" s="1"/>
      <c r="Q60" s="1"/>
      <c r="R60" s="1"/>
    </row>
    <row r="61" spans="1:18">
      <c r="A61" s="1"/>
      <c r="B61" s="1"/>
      <c r="D61" s="1">
        <v>1.0885</v>
      </c>
      <c r="E61" s="1">
        <v>293.5</v>
      </c>
      <c r="F61" s="1">
        <v>303.33</v>
      </c>
      <c r="G61" s="1">
        <v>14795</v>
      </c>
      <c r="H61" s="1">
        <v>113.25</v>
      </c>
      <c r="I61" s="1">
        <f t="shared" si="0"/>
        <v>14681.75</v>
      </c>
      <c r="J61" s="1">
        <v>306.89999999999998</v>
      </c>
      <c r="K61" s="1">
        <f t="shared" si="1"/>
        <v>18.936800000000002</v>
      </c>
      <c r="L61" s="1">
        <v>9.4684000000000008</v>
      </c>
      <c r="M61" s="1">
        <v>307.39999999999998</v>
      </c>
      <c r="N61" s="1">
        <v>311.27999999999997</v>
      </c>
      <c r="O61" s="1">
        <v>306.89999999999998</v>
      </c>
      <c r="P61" s="1"/>
      <c r="Q61" s="1"/>
      <c r="R61" s="1"/>
    </row>
    <row r="62" spans="1:18">
      <c r="A62" s="1"/>
      <c r="B62" s="1"/>
      <c r="D62" s="1">
        <v>1.1662999999999999</v>
      </c>
      <c r="E62" s="1">
        <v>293.47000000000003</v>
      </c>
      <c r="F62" s="1">
        <v>302.69</v>
      </c>
      <c r="G62" s="1">
        <v>16345</v>
      </c>
      <c r="H62" s="1">
        <v>76.197000000000003</v>
      </c>
      <c r="I62" s="1">
        <f t="shared" si="0"/>
        <v>16268.803</v>
      </c>
      <c r="J62" s="1">
        <v>306.22000000000003</v>
      </c>
      <c r="K62" s="1">
        <f t="shared" si="1"/>
        <v>18.9664</v>
      </c>
      <c r="L62" s="1">
        <v>9.4832000000000001</v>
      </c>
      <c r="M62" s="1">
        <v>306.72000000000003</v>
      </c>
      <c r="N62" s="1">
        <v>310.39999999999998</v>
      </c>
      <c r="O62" s="1">
        <v>306.22000000000003</v>
      </c>
      <c r="P62" s="1"/>
      <c r="Q62" s="1"/>
      <c r="R62" s="1"/>
    </row>
    <row r="63" spans="1:18">
      <c r="A63" s="1"/>
      <c r="B63" s="1"/>
      <c r="D63" s="1">
        <v>1.244</v>
      </c>
      <c r="E63" s="1">
        <v>293.44</v>
      </c>
      <c r="F63" s="1">
        <v>302.12</v>
      </c>
      <c r="G63" s="1">
        <v>17950</v>
      </c>
      <c r="H63" s="1">
        <v>32.582999999999998</v>
      </c>
      <c r="I63" s="1">
        <f t="shared" si="0"/>
        <v>17917.417000000001</v>
      </c>
      <c r="J63" s="1">
        <v>305.61</v>
      </c>
      <c r="K63" s="1">
        <f t="shared" si="1"/>
        <v>18.9742</v>
      </c>
      <c r="L63" s="1">
        <v>9.4870999999999999</v>
      </c>
      <c r="M63" s="1">
        <v>306.11</v>
      </c>
      <c r="N63" s="1">
        <v>309.61</v>
      </c>
      <c r="O63" s="1">
        <v>305.61</v>
      </c>
      <c r="P63" s="1"/>
      <c r="Q63" s="1"/>
      <c r="R63" s="1"/>
    </row>
    <row r="64" spans="1:1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>
      <c r="A67" s="1"/>
      <c r="B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>
      <c r="A68" s="1"/>
      <c r="B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>
      <c r="A69" s="1"/>
      <c r="B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>
      <c r="A70" s="1"/>
      <c r="B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>
      <c r="A71" s="1"/>
      <c r="B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>
      <c r="A72" s="1"/>
      <c r="B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>
      <c r="A73" s="1"/>
      <c r="B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>
      <c r="A74" s="1"/>
      <c r="B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>
      <c r="A75" s="1"/>
      <c r="B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>
      <c r="A76" s="1"/>
      <c r="B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>
      <c r="A77" s="1"/>
      <c r="B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>
      <c r="A78" s="1"/>
      <c r="B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>
      <c r="A79" s="1"/>
      <c r="B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λ</vt:lpstr>
      <vt:lpstr>hp</vt:lpstr>
      <vt:lpstr>Amplitude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xiaoqian bi</dc:creator>
  <cp:lastModifiedBy>Hao Zhou</cp:lastModifiedBy>
  <dcterms:created xsi:type="dcterms:W3CDTF">2015-06-05T18:19:34Z</dcterms:created>
  <dcterms:modified xsi:type="dcterms:W3CDTF">2026-03-06T00:29:20Z</dcterms:modified>
</cp:coreProperties>
</file>